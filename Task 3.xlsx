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f730ecac6e97b027/New Folder/Excel Projects/"/>
    </mc:Choice>
  </mc:AlternateContent>
  <xr:revisionPtr revIDLastSave="0" documentId="13_ncr:1_{80953ED4-C269-44D9-8FBC-B983F81D4FAA}" xr6:coauthVersionLast="47" xr6:coauthVersionMax="47" xr10:uidLastSave="{00000000-0000-0000-0000-000000000000}"/>
  <bookViews>
    <workbookView xWindow="-108" yWindow="-108" windowWidth="23256" windowHeight="13896" activeTab="4" xr2:uid="{00000000-000D-0000-FFFF-FFFF00000000}"/>
  </bookViews>
  <sheets>
    <sheet name="Engagement Summary" sheetId="2" r:id="rId1"/>
    <sheet name="Performing_Platforms" sheetId="4" r:id="rId2"/>
    <sheet name="Visualization" sheetId="8" r:id="rId3"/>
    <sheet name="Follower_Growth" sheetId="10" r:id="rId4"/>
    <sheet name="Data Analysis" sheetId="11" r:id="rId5"/>
  </sheets>
  <definedNames>
    <definedName name="_xlnm._FilterDatabase" localSheetId="0" hidden="1">'Engagement Summary'!$A$3:$H$1002</definedName>
    <definedName name="Slicer_Months__Week_Start_Date">#N/A</definedName>
    <definedName name="Slicer_Platform">#N/A</definedName>
    <definedName name="Slicer_Quarters__Week_Start_Date">#N/A</definedName>
    <definedName name="Slicer_Years__Week_Start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2" l="1"/>
  <c r="E9" i="2"/>
  <c r="E203" i="2"/>
  <c r="E5" i="2"/>
  <c r="E6" i="2"/>
  <c r="E7" i="2"/>
  <c r="E8"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alcChain>
</file>

<file path=xl/sharedStrings.xml><?xml version="1.0" encoding="utf-8"?>
<sst xmlns="http://schemas.openxmlformats.org/spreadsheetml/2006/main" count="251" uniqueCount="37">
  <si>
    <t>Platform</t>
  </si>
  <si>
    <t>Instagram</t>
  </si>
  <si>
    <t>Twitter</t>
  </si>
  <si>
    <t>YouTube</t>
  </si>
  <si>
    <t>Week_Start_Date</t>
  </si>
  <si>
    <t>New_Followers</t>
  </si>
  <si>
    <t>Unfollows</t>
  </si>
  <si>
    <t>Total_Followers</t>
  </si>
  <si>
    <t>Engagement_Rate</t>
  </si>
  <si>
    <t>Ad_Spend</t>
  </si>
  <si>
    <t>Row Labels</t>
  </si>
  <si>
    <t>Sum of Engagement_Rate</t>
  </si>
  <si>
    <t>Average of Engagement_Rate</t>
  </si>
  <si>
    <t>Follower Growth</t>
  </si>
  <si>
    <t>Sum of Ad_Spend</t>
  </si>
  <si>
    <t>2024</t>
  </si>
  <si>
    <t>2025</t>
  </si>
  <si>
    <t>Qtr2</t>
  </si>
  <si>
    <t>Qtr3</t>
  </si>
  <si>
    <t>Qtr4</t>
  </si>
  <si>
    <t>Jun</t>
  </si>
  <si>
    <t>Jul</t>
  </si>
  <si>
    <t>Aug</t>
  </si>
  <si>
    <t>Sep</t>
  </si>
  <si>
    <t>Column Labels</t>
  </si>
  <si>
    <t>Sum of Follower Growth</t>
  </si>
  <si>
    <t>Qtr1</t>
  </si>
  <si>
    <t>Oct</t>
  </si>
  <si>
    <t>Nov</t>
  </si>
  <si>
    <t>Dec</t>
  </si>
  <si>
    <t>Jan</t>
  </si>
  <si>
    <t>Feb</t>
  </si>
  <si>
    <t>Mar</t>
  </si>
  <si>
    <t>Apr</t>
  </si>
  <si>
    <t>May</t>
  </si>
  <si>
    <t>Multi-Platform Growth Strategy &amp; Investment Justification Report</t>
  </si>
  <si>
    <t>Engagement Summary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</si>
</sst>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d/mm/yyyy;@"/>
  </numFmts>
  <fonts count="5">
    <font>
      <sz val="11"/>
      <color theme="1"/>
      <name val="Calibri"/>
      <scheme val="minor"/>
    </font>
    <font>
      <sz val="11"/>
      <color rgb="FF000000"/>
      <name val="&quot;Aptos Narrow&quot;"/>
    </font>
    <font>
      <b/>
      <sz val="11"/>
      <color rgb="FF000000"/>
      <name val="&quot;Aptos Narrow&quot;"/>
    </font>
    <font>
      <sz val="20"/>
      <color theme="1"/>
      <name val="Algerian"/>
      <family val="5"/>
    </font>
    <font>
      <sz val="22"/>
      <color theme="1"/>
      <name val="Calibri"/>
      <family val="2"/>
      <scheme val="minor"/>
    </font>
  </fonts>
  <fills count="6">
    <fill>
      <patternFill patternType="none"/>
    </fill>
    <fill>
      <patternFill patternType="gray125"/>
    </fill>
    <fill>
      <patternFill patternType="solid">
        <fgColor theme="2" tint="-0.249977111117893"/>
        <bgColor indexed="64"/>
      </patternFill>
    </fill>
    <fill>
      <patternFill patternType="solid">
        <fgColor theme="9" tint="0.39997558519241921"/>
        <bgColor indexed="64"/>
      </patternFill>
    </fill>
    <fill>
      <patternFill patternType="solid">
        <fgColor rgb="FFFFFF00"/>
        <bgColor indexed="64"/>
      </patternFill>
    </fill>
    <fill>
      <patternFill patternType="solid">
        <fgColor theme="9" tint="-0.24997711111789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2" borderId="0" xfId="0" applyFill="1"/>
    <xf numFmtId="0" fontId="1" fillId="0" borderId="1" xfId="0" applyFont="1" applyBorder="1"/>
    <xf numFmtId="0" fontId="1" fillId="0" borderId="1" xfId="0" applyFont="1" applyBorder="1" applyAlignment="1">
      <alignment horizontal="right"/>
    </xf>
    <xf numFmtId="164" fontId="1" fillId="0" borderId="2" xfId="0" applyNumberFormat="1" applyFont="1" applyBorder="1" applyAlignment="1">
      <alignment horizontal="right"/>
    </xf>
    <xf numFmtId="0" fontId="1" fillId="0" borderId="3" xfId="0" applyFont="1" applyBorder="1" applyAlignment="1">
      <alignment horizontal="right"/>
    </xf>
    <xf numFmtId="164" fontId="2" fillId="0" borderId="4" xfId="0" applyNumberFormat="1" applyFont="1" applyBorder="1"/>
    <xf numFmtId="0" fontId="2" fillId="0" borderId="5" xfId="0" applyFont="1" applyBorder="1"/>
    <xf numFmtId="0" fontId="2" fillId="0" borderId="6" xfId="0" applyFont="1" applyBorder="1"/>
    <xf numFmtId="164" fontId="1" fillId="0" borderId="7" xfId="0" applyNumberFormat="1" applyFont="1" applyBorder="1" applyAlignment="1">
      <alignment horizontal="right"/>
    </xf>
    <xf numFmtId="0" fontId="1" fillId="0" borderId="8" xfId="0" applyFont="1" applyBorder="1"/>
    <xf numFmtId="0" fontId="1" fillId="0" borderId="8" xfId="0" applyFont="1" applyBorder="1" applyAlignment="1">
      <alignment horizontal="right"/>
    </xf>
    <xf numFmtId="0" fontId="1" fillId="0" borderId="9" xfId="0" applyFont="1" applyBorder="1" applyAlignment="1">
      <alignment horizontal="right"/>
    </xf>
    <xf numFmtId="0" fontId="2" fillId="4" borderId="5" xfId="0" applyFont="1" applyFill="1" applyBorder="1"/>
    <xf numFmtId="0" fontId="1" fillId="4" borderId="1" xfId="0" applyFont="1" applyFill="1" applyBorder="1" applyAlignment="1">
      <alignment horizontal="right"/>
    </xf>
    <xf numFmtId="0" fontId="1" fillId="4" borderId="8" xfId="0" applyFont="1" applyFill="1" applyBorder="1" applyAlignment="1">
      <alignment horizontal="right"/>
    </xf>
    <xf numFmtId="0" fontId="1" fillId="4" borderId="0" xfId="0" applyFont="1" applyFill="1" applyAlignment="1">
      <alignment horizontal="right"/>
    </xf>
    <xf numFmtId="0" fontId="0" fillId="4" borderId="0" xfId="0" applyFill="1"/>
    <xf numFmtId="164" fontId="4" fillId="5" borderId="0" xfId="0" applyNumberFormat="1" applyFont="1" applyFill="1" applyAlignment="1">
      <alignment horizontal="center"/>
    </xf>
    <xf numFmtId="0" fontId="3" fillId="3" borderId="1" xfId="0" applyFont="1" applyFill="1" applyBorder="1" applyAlignment="1">
      <alignment horizontal="center"/>
    </xf>
  </cellXfs>
  <cellStyles count="1">
    <cellStyle name="Normal" xfId="0" builtinId="0"/>
  </cellStyles>
  <dxfs count="13">
    <dxf>
      <font>
        <b val="0"/>
        <i val="0"/>
        <strike val="0"/>
        <condense val="0"/>
        <extend val="0"/>
        <outline val="0"/>
        <shadow val="0"/>
        <u val="none"/>
        <vertAlign val="baseline"/>
        <sz val="11"/>
        <color rgb="FF000000"/>
        <name val="&quot;Aptos Narrow&quot;"/>
        <scheme val="none"/>
      </font>
      <alignment horizontal="right"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rgb="FF000000"/>
        <name val="&quot;Aptos Narrow&quot;"/>
        <scheme val="none"/>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quot;Aptos Narrow&quot;"/>
        <scheme val="none"/>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quot;Aptos Narrow&quot;"/>
        <scheme val="none"/>
      </font>
      <fill>
        <patternFill patternType="solid">
          <fgColor indexed="64"/>
          <bgColor rgb="FFFFFF00"/>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quot;Aptos Narrow&quot;"/>
        <scheme val="none"/>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quot;Aptos Narrow&quot;"/>
        <scheme val="none"/>
      </font>
      <alignment horizontal="righ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quot;Aptos Narrow&quot;"/>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quot;Aptos Narrow&quot;"/>
        <scheme val="none"/>
      </font>
      <numFmt numFmtId="164" formatCode="[$-14009]dd/mm/yyyy;@"/>
      <alignment horizontal="right"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quot;Aptos Narrow&quot;"/>
        <scheme val="none"/>
      </font>
      <alignment horizontal="right"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rgb="FF000000"/>
        <name val="&quot;Aptos Narrow&quot;"/>
        <scheme val="none"/>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3.xlsx]Performing_Platforms!PivotTable1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Arial" panose="020B0604020202020204" pitchFamily="34" charset="0"/>
                <a:cs typeface="Arial" panose="020B0604020202020204" pitchFamily="34" charset="0"/>
              </a:rPr>
              <a:t>Best Performing Platform</a:t>
            </a:r>
            <a:endParaRPr lang="en-US"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solidFill>
              <a:schemeClr val="tx2">
                <a:lumMod val="85000"/>
                <a:lumOff val="15000"/>
              </a:schemeClr>
            </a:solidFill>
          </a:ln>
          <a:effectLst/>
          <a:sp3d>
            <a:contourClr>
              <a:schemeClr val="tx2">
                <a:lumMod val="85000"/>
                <a:lumOff val="1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Performing_Platforms!$B$3</c:f>
              <c:strCache>
                <c:ptCount val="1"/>
                <c:pt idx="0">
                  <c:v>Total</c:v>
                </c:pt>
              </c:strCache>
            </c:strRef>
          </c:tx>
          <c:spPr>
            <a:solidFill>
              <a:schemeClr val="accent1">
                <a:lumMod val="40000"/>
                <a:lumOff val="60000"/>
              </a:schemeClr>
            </a:solidFill>
            <a:ln>
              <a:solidFill>
                <a:schemeClr val="tx2">
                  <a:lumMod val="85000"/>
                  <a:lumOff val="15000"/>
                </a:schemeClr>
              </a:solidFill>
            </a:ln>
            <a:effectLst/>
            <a:sp3d>
              <a:contourClr>
                <a:schemeClr val="tx2">
                  <a:lumMod val="85000"/>
                  <a:lumOff val="15000"/>
                </a:schemeClr>
              </a:contourClr>
            </a:sp3d>
          </c:spPr>
          <c:invertIfNegative val="0"/>
          <c:cat>
            <c:strRef>
              <c:f>Performing_Platforms!$A$4:$A$6</c:f>
              <c:strCache>
                <c:ptCount val="3"/>
                <c:pt idx="0">
                  <c:v>Instagram</c:v>
                </c:pt>
                <c:pt idx="1">
                  <c:v>Twitter</c:v>
                </c:pt>
                <c:pt idx="2">
                  <c:v>YouTube</c:v>
                </c:pt>
              </c:strCache>
            </c:strRef>
          </c:cat>
          <c:val>
            <c:numRef>
              <c:f>Performing_Platforms!$B$4:$B$6</c:f>
              <c:numCache>
                <c:formatCode>General</c:formatCode>
                <c:ptCount val="3"/>
                <c:pt idx="0">
                  <c:v>6.4582089552238831</c:v>
                </c:pt>
                <c:pt idx="1">
                  <c:v>6.8856716417910446</c:v>
                </c:pt>
                <c:pt idx="2">
                  <c:v>6.7189393939393929</c:v>
                </c:pt>
              </c:numCache>
            </c:numRef>
          </c:val>
          <c:extLst>
            <c:ext xmlns:c16="http://schemas.microsoft.com/office/drawing/2014/chart" uri="{C3380CC4-5D6E-409C-BE32-E72D297353CC}">
              <c16:uniqueId val="{00000000-1D79-49D1-B15E-E6B8C13CBE1E}"/>
            </c:ext>
          </c:extLst>
        </c:ser>
        <c:dLbls>
          <c:showLegendKey val="0"/>
          <c:showVal val="0"/>
          <c:showCatName val="0"/>
          <c:showSerName val="0"/>
          <c:showPercent val="0"/>
          <c:showBubbleSize val="0"/>
        </c:dLbls>
        <c:gapWidth val="150"/>
        <c:shape val="box"/>
        <c:axId val="2031683263"/>
        <c:axId val="2031690943"/>
        <c:axId val="0"/>
      </c:bar3DChart>
      <c:catAx>
        <c:axId val="2031683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31690943"/>
        <c:crosses val="autoZero"/>
        <c:auto val="1"/>
        <c:lblAlgn val="ctr"/>
        <c:lblOffset val="100"/>
        <c:noMultiLvlLbl val="0"/>
      </c:catAx>
      <c:valAx>
        <c:axId val="2031690943"/>
        <c:scaling>
          <c:orientation val="minMax"/>
        </c:scaling>
        <c:delete val="0"/>
        <c:axPos val="l"/>
        <c:majorGridlines>
          <c:spPr>
            <a:ln w="9525" cap="flat" cmpd="sng" algn="ctr">
              <a:solidFill>
                <a:schemeClr val="tx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3168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9000">
          <a:schemeClr val="accent6">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3.xlsx]Visualization!PivotTable4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latin typeface="Arial" panose="020B0604020202020204" pitchFamily="34" charset="0"/>
                <a:cs typeface="Arial" panose="020B0604020202020204" pitchFamily="34" charset="0"/>
              </a:rPr>
              <a:t>Visualize Ad Spend vs. Engagement </a:t>
            </a:r>
            <a:endParaRPr lang="en-IN" b="1" u="sng">
              <a:latin typeface="Arial" panose="020B0604020202020204" pitchFamily="34" charset="0"/>
              <a:cs typeface="Arial" panose="020B0604020202020204" pitchFamily="34" charset="0"/>
            </a:endParaRPr>
          </a:p>
        </c:rich>
      </c:tx>
      <c:layout>
        <c:manualLayout>
          <c:xMode val="edge"/>
          <c:yMode val="edge"/>
          <c:x val="0.13666666666666666"/>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692825896762904"/>
          <c:y val="0.20879629629629629"/>
          <c:w val="0.52779571303587047"/>
          <c:h val="0.68380431612715087"/>
        </c:manualLayout>
      </c:layout>
      <c:barChart>
        <c:barDir val="col"/>
        <c:grouping val="clustered"/>
        <c:varyColors val="0"/>
        <c:ser>
          <c:idx val="0"/>
          <c:order val="0"/>
          <c:tx>
            <c:strRef>
              <c:f>Visualization!$B$3</c:f>
              <c:strCache>
                <c:ptCount val="1"/>
                <c:pt idx="0">
                  <c:v>Sum of Engagement_Rate</c:v>
                </c:pt>
              </c:strCache>
            </c:strRef>
          </c:tx>
          <c:spPr>
            <a:solidFill>
              <a:schemeClr val="accent1"/>
            </a:solidFill>
            <a:ln>
              <a:noFill/>
            </a:ln>
            <a:effectLst/>
          </c:spPr>
          <c:invertIfNegative val="0"/>
          <c:cat>
            <c:strRef>
              <c:f>Visualization!$A$4:$A$6</c:f>
              <c:strCache>
                <c:ptCount val="3"/>
                <c:pt idx="0">
                  <c:v>Instagram</c:v>
                </c:pt>
                <c:pt idx="1">
                  <c:v>Twitter</c:v>
                </c:pt>
                <c:pt idx="2">
                  <c:v>YouTube</c:v>
                </c:pt>
              </c:strCache>
            </c:strRef>
          </c:cat>
          <c:val>
            <c:numRef>
              <c:f>Visualization!$B$4:$B$6</c:f>
              <c:numCache>
                <c:formatCode>General</c:formatCode>
                <c:ptCount val="3"/>
                <c:pt idx="0">
                  <c:v>432.70000000000016</c:v>
                </c:pt>
                <c:pt idx="1">
                  <c:v>461.34</c:v>
                </c:pt>
                <c:pt idx="2">
                  <c:v>443.44999999999993</c:v>
                </c:pt>
              </c:numCache>
            </c:numRef>
          </c:val>
          <c:extLst>
            <c:ext xmlns:c16="http://schemas.microsoft.com/office/drawing/2014/chart" uri="{C3380CC4-5D6E-409C-BE32-E72D297353CC}">
              <c16:uniqueId val="{00000000-50FC-4540-9FDA-E1AFDF6E5BA6}"/>
            </c:ext>
          </c:extLst>
        </c:ser>
        <c:dLbls>
          <c:showLegendKey val="0"/>
          <c:showVal val="0"/>
          <c:showCatName val="0"/>
          <c:showSerName val="0"/>
          <c:showPercent val="0"/>
          <c:showBubbleSize val="0"/>
        </c:dLbls>
        <c:gapWidth val="219"/>
        <c:overlap val="-27"/>
        <c:axId val="2031485023"/>
        <c:axId val="2031463423"/>
      </c:barChart>
      <c:lineChart>
        <c:grouping val="standard"/>
        <c:varyColors val="0"/>
        <c:ser>
          <c:idx val="1"/>
          <c:order val="1"/>
          <c:tx>
            <c:strRef>
              <c:f>Visualization!$C$3</c:f>
              <c:strCache>
                <c:ptCount val="1"/>
                <c:pt idx="0">
                  <c:v>Sum of Ad_Spend</c:v>
                </c:pt>
              </c:strCache>
            </c:strRef>
          </c:tx>
          <c:spPr>
            <a:ln w="28575" cap="rnd">
              <a:solidFill>
                <a:schemeClr val="accent2"/>
              </a:solidFill>
              <a:round/>
            </a:ln>
            <a:effectLst/>
          </c:spPr>
          <c:marker>
            <c:symbol val="none"/>
          </c:marker>
          <c:cat>
            <c:strRef>
              <c:f>Visualization!$A$4:$A$6</c:f>
              <c:strCache>
                <c:ptCount val="3"/>
                <c:pt idx="0">
                  <c:v>Instagram</c:v>
                </c:pt>
                <c:pt idx="1">
                  <c:v>Twitter</c:v>
                </c:pt>
                <c:pt idx="2">
                  <c:v>YouTube</c:v>
                </c:pt>
              </c:strCache>
            </c:strRef>
          </c:cat>
          <c:val>
            <c:numRef>
              <c:f>Visualization!$C$4:$C$6</c:f>
              <c:numCache>
                <c:formatCode>General</c:formatCode>
                <c:ptCount val="3"/>
                <c:pt idx="0">
                  <c:v>1035942</c:v>
                </c:pt>
                <c:pt idx="1">
                  <c:v>1114204</c:v>
                </c:pt>
                <c:pt idx="2">
                  <c:v>1065782</c:v>
                </c:pt>
              </c:numCache>
            </c:numRef>
          </c:val>
          <c:smooth val="0"/>
          <c:extLst>
            <c:ext xmlns:c16="http://schemas.microsoft.com/office/drawing/2014/chart" uri="{C3380CC4-5D6E-409C-BE32-E72D297353CC}">
              <c16:uniqueId val="{00000001-50FC-4540-9FDA-E1AFDF6E5BA6}"/>
            </c:ext>
          </c:extLst>
        </c:ser>
        <c:dLbls>
          <c:showLegendKey val="0"/>
          <c:showVal val="0"/>
          <c:showCatName val="0"/>
          <c:showSerName val="0"/>
          <c:showPercent val="0"/>
          <c:showBubbleSize val="0"/>
        </c:dLbls>
        <c:marker val="1"/>
        <c:smooth val="0"/>
        <c:axId val="2031473983"/>
        <c:axId val="2031475903"/>
      </c:lineChart>
      <c:catAx>
        <c:axId val="203147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475903"/>
        <c:crosses val="autoZero"/>
        <c:auto val="1"/>
        <c:lblAlgn val="ctr"/>
        <c:lblOffset val="100"/>
        <c:noMultiLvlLbl val="0"/>
      </c:catAx>
      <c:valAx>
        <c:axId val="2031475903"/>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473983"/>
        <c:crosses val="autoZero"/>
        <c:crossBetween val="between"/>
      </c:valAx>
      <c:valAx>
        <c:axId val="203146342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485023"/>
        <c:crosses val="max"/>
        <c:crossBetween val="between"/>
      </c:valAx>
      <c:catAx>
        <c:axId val="2031485023"/>
        <c:scaling>
          <c:orientation val="minMax"/>
        </c:scaling>
        <c:delete val="1"/>
        <c:axPos val="b"/>
        <c:numFmt formatCode="General" sourceLinked="1"/>
        <c:majorTickMark val="out"/>
        <c:minorTickMark val="none"/>
        <c:tickLblPos val="nextTo"/>
        <c:crossAx val="203146342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tx1"/>
      </a:fgClr>
      <a:bgClr>
        <a:schemeClr val="accent6">
          <a:lumMod val="20000"/>
          <a:lumOff val="80000"/>
        </a:schemeClr>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3.xlsx]Follower_Growth!PivotTable2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latin typeface="Arial" panose="020B0604020202020204" pitchFamily="34" charset="0"/>
                <a:cs typeface="Arial" panose="020B0604020202020204" pitchFamily="34" charset="0"/>
              </a:rPr>
              <a:t>Follower</a:t>
            </a:r>
            <a:r>
              <a:rPr lang="en-IN" b="1" u="sng" baseline="0">
                <a:latin typeface="Arial" panose="020B0604020202020204" pitchFamily="34" charset="0"/>
                <a:cs typeface="Arial" panose="020B0604020202020204" pitchFamily="34" charset="0"/>
              </a:rPr>
              <a:t> Growth Rate</a:t>
            </a:r>
            <a:endParaRPr lang="en-IN" b="1" u="sng">
              <a:latin typeface="Arial" panose="020B0604020202020204" pitchFamily="34" charset="0"/>
              <a:cs typeface="Arial" panose="020B0604020202020204" pitchFamily="34" charset="0"/>
            </a:endParaRPr>
          </a:p>
        </c:rich>
      </c:tx>
      <c:layout>
        <c:manualLayout>
          <c:xMode val="edge"/>
          <c:yMode val="edge"/>
          <c:x val="3.757979788902991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91092215470214"/>
          <c:y val="0.18564814814814815"/>
          <c:w val="0.77052223857181901"/>
          <c:h val="0.47581328375619714"/>
        </c:manualLayout>
      </c:layout>
      <c:barChart>
        <c:barDir val="col"/>
        <c:grouping val="clustered"/>
        <c:varyColors val="0"/>
        <c:ser>
          <c:idx val="0"/>
          <c:order val="0"/>
          <c:tx>
            <c:strRef>
              <c:f>Follower_Growth!$B$3:$B$4</c:f>
              <c:strCache>
                <c:ptCount val="1"/>
                <c:pt idx="0">
                  <c:v>Instagram</c:v>
                </c:pt>
              </c:strCache>
            </c:strRef>
          </c:tx>
          <c:spPr>
            <a:solidFill>
              <a:schemeClr val="accent1"/>
            </a:solidFill>
            <a:ln>
              <a:noFill/>
            </a:ln>
            <a:effectLst/>
          </c:spPr>
          <c:invertIfNegative val="0"/>
          <c:cat>
            <c:multiLvlStrRef>
              <c:f>Follower_Growth!$A$5:$A$28</c:f>
              <c:multiLvlStrCache>
                <c:ptCount val="16"/>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pt idx="15">
                    <c:v>Sep</c:v>
                  </c:pt>
                </c:lvl>
                <c:lvl>
                  <c:pt idx="0">
                    <c:v>Qtr2</c:v>
                  </c:pt>
                  <c:pt idx="1">
                    <c:v>Qtr3</c:v>
                  </c:pt>
                  <c:pt idx="4">
                    <c:v>Qtr4</c:v>
                  </c:pt>
                  <c:pt idx="7">
                    <c:v>Qtr1</c:v>
                  </c:pt>
                  <c:pt idx="10">
                    <c:v>Qtr2</c:v>
                  </c:pt>
                  <c:pt idx="13">
                    <c:v>Qtr3</c:v>
                  </c:pt>
                </c:lvl>
                <c:lvl>
                  <c:pt idx="0">
                    <c:v>2024</c:v>
                  </c:pt>
                  <c:pt idx="7">
                    <c:v>2025</c:v>
                  </c:pt>
                </c:lvl>
              </c:multiLvlStrCache>
            </c:multiLvlStrRef>
          </c:cat>
          <c:val>
            <c:numRef>
              <c:f>Follower_Growth!$B$5:$B$28</c:f>
              <c:numCache>
                <c:formatCode>General</c:formatCode>
                <c:ptCount val="16"/>
                <c:pt idx="0">
                  <c:v>3464</c:v>
                </c:pt>
                <c:pt idx="1">
                  <c:v>3401</c:v>
                </c:pt>
                <c:pt idx="2">
                  <c:v>4261</c:v>
                </c:pt>
                <c:pt idx="3">
                  <c:v>3868</c:v>
                </c:pt>
                <c:pt idx="4">
                  <c:v>3573</c:v>
                </c:pt>
                <c:pt idx="5">
                  <c:v>3532</c:v>
                </c:pt>
                <c:pt idx="6">
                  <c:v>3516</c:v>
                </c:pt>
                <c:pt idx="7">
                  <c:v>1693</c:v>
                </c:pt>
                <c:pt idx="8">
                  <c:v>2752</c:v>
                </c:pt>
                <c:pt idx="9">
                  <c:v>3389</c:v>
                </c:pt>
                <c:pt idx="10">
                  <c:v>3363</c:v>
                </c:pt>
                <c:pt idx="11">
                  <c:v>3468</c:v>
                </c:pt>
                <c:pt idx="12">
                  <c:v>2587</c:v>
                </c:pt>
                <c:pt idx="13">
                  <c:v>3623</c:v>
                </c:pt>
                <c:pt idx="14">
                  <c:v>2856</c:v>
                </c:pt>
                <c:pt idx="15">
                  <c:v>1692</c:v>
                </c:pt>
              </c:numCache>
            </c:numRef>
          </c:val>
          <c:extLst>
            <c:ext xmlns:c16="http://schemas.microsoft.com/office/drawing/2014/chart" uri="{C3380CC4-5D6E-409C-BE32-E72D297353CC}">
              <c16:uniqueId val="{00000000-172E-4792-87BB-BEC2C7AA85F3}"/>
            </c:ext>
          </c:extLst>
        </c:ser>
        <c:ser>
          <c:idx val="1"/>
          <c:order val="1"/>
          <c:tx>
            <c:strRef>
              <c:f>Follower_Growth!$C$3:$C$4</c:f>
              <c:strCache>
                <c:ptCount val="1"/>
                <c:pt idx="0">
                  <c:v>Twitter</c:v>
                </c:pt>
              </c:strCache>
            </c:strRef>
          </c:tx>
          <c:spPr>
            <a:solidFill>
              <a:schemeClr val="accent2"/>
            </a:solidFill>
            <a:ln>
              <a:noFill/>
            </a:ln>
            <a:effectLst/>
          </c:spPr>
          <c:invertIfNegative val="0"/>
          <c:cat>
            <c:multiLvlStrRef>
              <c:f>Follower_Growth!$A$5:$A$28</c:f>
              <c:multiLvlStrCache>
                <c:ptCount val="16"/>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pt idx="15">
                    <c:v>Sep</c:v>
                  </c:pt>
                </c:lvl>
                <c:lvl>
                  <c:pt idx="0">
                    <c:v>Qtr2</c:v>
                  </c:pt>
                  <c:pt idx="1">
                    <c:v>Qtr3</c:v>
                  </c:pt>
                  <c:pt idx="4">
                    <c:v>Qtr4</c:v>
                  </c:pt>
                  <c:pt idx="7">
                    <c:v>Qtr1</c:v>
                  </c:pt>
                  <c:pt idx="10">
                    <c:v>Qtr2</c:v>
                  </c:pt>
                  <c:pt idx="13">
                    <c:v>Qtr3</c:v>
                  </c:pt>
                </c:lvl>
                <c:lvl>
                  <c:pt idx="0">
                    <c:v>2024</c:v>
                  </c:pt>
                  <c:pt idx="7">
                    <c:v>2025</c:v>
                  </c:pt>
                </c:lvl>
              </c:multiLvlStrCache>
            </c:multiLvlStrRef>
          </c:cat>
          <c:val>
            <c:numRef>
              <c:f>Follower_Growth!$C$5:$C$28</c:f>
              <c:numCache>
                <c:formatCode>General</c:formatCode>
                <c:ptCount val="16"/>
                <c:pt idx="0">
                  <c:v>4710</c:v>
                </c:pt>
                <c:pt idx="1">
                  <c:v>3842</c:v>
                </c:pt>
                <c:pt idx="2">
                  <c:v>2417</c:v>
                </c:pt>
                <c:pt idx="3">
                  <c:v>5557</c:v>
                </c:pt>
                <c:pt idx="4">
                  <c:v>2316</c:v>
                </c:pt>
                <c:pt idx="5">
                  <c:v>3182</c:v>
                </c:pt>
                <c:pt idx="6">
                  <c:v>4273</c:v>
                </c:pt>
                <c:pt idx="7">
                  <c:v>4052</c:v>
                </c:pt>
                <c:pt idx="8">
                  <c:v>2730</c:v>
                </c:pt>
                <c:pt idx="9">
                  <c:v>4298</c:v>
                </c:pt>
                <c:pt idx="10">
                  <c:v>3416</c:v>
                </c:pt>
                <c:pt idx="11">
                  <c:v>3663</c:v>
                </c:pt>
                <c:pt idx="12">
                  <c:v>3807</c:v>
                </c:pt>
                <c:pt idx="13">
                  <c:v>3347</c:v>
                </c:pt>
                <c:pt idx="14">
                  <c:v>3016</c:v>
                </c:pt>
                <c:pt idx="15">
                  <c:v>918</c:v>
                </c:pt>
              </c:numCache>
            </c:numRef>
          </c:val>
          <c:extLst>
            <c:ext xmlns:c16="http://schemas.microsoft.com/office/drawing/2014/chart" uri="{C3380CC4-5D6E-409C-BE32-E72D297353CC}">
              <c16:uniqueId val="{00000001-172E-4792-87BB-BEC2C7AA85F3}"/>
            </c:ext>
          </c:extLst>
        </c:ser>
        <c:dLbls>
          <c:showLegendKey val="0"/>
          <c:showVal val="0"/>
          <c:showCatName val="0"/>
          <c:showSerName val="0"/>
          <c:showPercent val="0"/>
          <c:showBubbleSize val="0"/>
        </c:dLbls>
        <c:gapWidth val="219"/>
        <c:overlap val="-27"/>
        <c:axId val="1998256863"/>
        <c:axId val="1998256383"/>
      </c:barChart>
      <c:lineChart>
        <c:grouping val="standard"/>
        <c:varyColors val="0"/>
        <c:ser>
          <c:idx val="2"/>
          <c:order val="2"/>
          <c:tx>
            <c:strRef>
              <c:f>Follower_Growth!$D$3:$D$4</c:f>
              <c:strCache>
                <c:ptCount val="1"/>
                <c:pt idx="0">
                  <c:v>YouTube</c:v>
                </c:pt>
              </c:strCache>
            </c:strRef>
          </c:tx>
          <c:spPr>
            <a:ln w="28575" cap="rnd">
              <a:solidFill>
                <a:schemeClr val="accent3"/>
              </a:solidFill>
              <a:round/>
            </a:ln>
            <a:effectLst/>
          </c:spPr>
          <c:marker>
            <c:symbol val="none"/>
          </c:marker>
          <c:cat>
            <c:multiLvlStrRef>
              <c:f>Follower_Growth!$A$5:$A$28</c:f>
              <c:multiLvlStrCache>
                <c:ptCount val="16"/>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pt idx="15">
                    <c:v>Sep</c:v>
                  </c:pt>
                </c:lvl>
                <c:lvl>
                  <c:pt idx="0">
                    <c:v>Qtr2</c:v>
                  </c:pt>
                  <c:pt idx="1">
                    <c:v>Qtr3</c:v>
                  </c:pt>
                  <c:pt idx="4">
                    <c:v>Qtr4</c:v>
                  </c:pt>
                  <c:pt idx="7">
                    <c:v>Qtr1</c:v>
                  </c:pt>
                  <c:pt idx="10">
                    <c:v>Qtr2</c:v>
                  </c:pt>
                  <c:pt idx="13">
                    <c:v>Qtr3</c:v>
                  </c:pt>
                </c:lvl>
                <c:lvl>
                  <c:pt idx="0">
                    <c:v>2024</c:v>
                  </c:pt>
                  <c:pt idx="7">
                    <c:v>2025</c:v>
                  </c:pt>
                </c:lvl>
              </c:multiLvlStrCache>
            </c:multiLvlStrRef>
          </c:cat>
          <c:val>
            <c:numRef>
              <c:f>Follower_Growth!$D$5:$D$28</c:f>
              <c:numCache>
                <c:formatCode>General</c:formatCode>
                <c:ptCount val="16"/>
                <c:pt idx="0">
                  <c:v>3630</c:v>
                </c:pt>
                <c:pt idx="1">
                  <c:v>5120</c:v>
                </c:pt>
                <c:pt idx="2">
                  <c:v>3837</c:v>
                </c:pt>
                <c:pt idx="3">
                  <c:v>3805</c:v>
                </c:pt>
                <c:pt idx="4">
                  <c:v>4092</c:v>
                </c:pt>
                <c:pt idx="5">
                  <c:v>3878</c:v>
                </c:pt>
                <c:pt idx="6">
                  <c:v>3572</c:v>
                </c:pt>
                <c:pt idx="7">
                  <c:v>2807</c:v>
                </c:pt>
                <c:pt idx="8">
                  <c:v>1815</c:v>
                </c:pt>
                <c:pt idx="9">
                  <c:v>5039</c:v>
                </c:pt>
                <c:pt idx="10">
                  <c:v>3834</c:v>
                </c:pt>
                <c:pt idx="11">
                  <c:v>2801</c:v>
                </c:pt>
                <c:pt idx="12">
                  <c:v>3614</c:v>
                </c:pt>
                <c:pt idx="13">
                  <c:v>4283</c:v>
                </c:pt>
                <c:pt idx="14">
                  <c:v>2629</c:v>
                </c:pt>
                <c:pt idx="15">
                  <c:v>250</c:v>
                </c:pt>
              </c:numCache>
            </c:numRef>
          </c:val>
          <c:smooth val="0"/>
          <c:extLst>
            <c:ext xmlns:c16="http://schemas.microsoft.com/office/drawing/2014/chart" uri="{C3380CC4-5D6E-409C-BE32-E72D297353CC}">
              <c16:uniqueId val="{00000002-172E-4792-87BB-BEC2C7AA85F3}"/>
            </c:ext>
          </c:extLst>
        </c:ser>
        <c:dLbls>
          <c:showLegendKey val="0"/>
          <c:showVal val="0"/>
          <c:showCatName val="0"/>
          <c:showSerName val="0"/>
          <c:showPercent val="0"/>
          <c:showBubbleSize val="0"/>
        </c:dLbls>
        <c:marker val="1"/>
        <c:smooth val="0"/>
        <c:axId val="1998253983"/>
        <c:axId val="1998254463"/>
      </c:lineChart>
      <c:catAx>
        <c:axId val="1998253983"/>
        <c:scaling>
          <c:orientation val="minMax"/>
        </c:scaling>
        <c:delete val="0"/>
        <c:axPos val="b"/>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254463"/>
        <c:crosses val="autoZero"/>
        <c:auto val="1"/>
        <c:lblAlgn val="ctr"/>
        <c:lblOffset val="100"/>
        <c:noMultiLvlLbl val="0"/>
      </c:catAx>
      <c:valAx>
        <c:axId val="1998254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253983"/>
        <c:crosses val="autoZero"/>
        <c:crossBetween val="between"/>
      </c:valAx>
      <c:valAx>
        <c:axId val="19982563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256863"/>
        <c:crosses val="max"/>
        <c:crossBetween val="between"/>
      </c:valAx>
      <c:catAx>
        <c:axId val="1998256863"/>
        <c:scaling>
          <c:orientation val="minMax"/>
        </c:scaling>
        <c:delete val="1"/>
        <c:axPos val="b"/>
        <c:numFmt formatCode="General" sourceLinked="1"/>
        <c:majorTickMark val="out"/>
        <c:minorTickMark val="none"/>
        <c:tickLblPos val="nextTo"/>
        <c:crossAx val="1998256383"/>
        <c:crosses val="autoZero"/>
        <c:auto val="1"/>
        <c:lblAlgn val="ctr"/>
        <c:lblOffset val="100"/>
        <c:noMultiLvlLbl val="0"/>
      </c:catAx>
      <c:spPr>
        <a:noFill/>
        <a:ln>
          <a:noFill/>
        </a:ln>
        <a:effectLst/>
      </c:spPr>
    </c:plotArea>
    <c:legend>
      <c:legendPos val="r"/>
      <c:layout>
        <c:manualLayout>
          <c:xMode val="edge"/>
          <c:yMode val="edge"/>
          <c:x val="0.43361845282891709"/>
          <c:y val="5.0127588218139398E-3"/>
          <c:w val="0.53309576495520083"/>
          <c:h val="0.125717045785943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3.xlsx]Follower_Growth!PivotTable2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latin typeface="Arial" panose="020B0604020202020204" pitchFamily="34" charset="0"/>
                <a:cs typeface="Arial" panose="020B0604020202020204" pitchFamily="34" charset="0"/>
              </a:rPr>
              <a:t>Follower</a:t>
            </a:r>
            <a:r>
              <a:rPr lang="en-IN" b="1" u="sng" baseline="0">
                <a:latin typeface="Arial" panose="020B0604020202020204" pitchFamily="34" charset="0"/>
                <a:cs typeface="Arial" panose="020B0604020202020204" pitchFamily="34" charset="0"/>
              </a:rPr>
              <a:t> Growth Rate</a:t>
            </a:r>
            <a:endParaRPr lang="en-IN" b="1" u="sng">
              <a:latin typeface="Arial" panose="020B0604020202020204" pitchFamily="34" charset="0"/>
              <a:cs typeface="Arial" panose="020B0604020202020204" pitchFamily="34" charset="0"/>
            </a:endParaRPr>
          </a:p>
        </c:rich>
      </c:tx>
      <c:layout>
        <c:manualLayout>
          <c:xMode val="edge"/>
          <c:yMode val="edge"/>
          <c:x val="3.9957353761592922E-2"/>
          <c:y val="7.828282828282828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40069866445012"/>
          <c:y val="0.24074459700801862"/>
          <c:w val="0.77052223857181901"/>
          <c:h val="0.47581328375619714"/>
        </c:manualLayout>
      </c:layout>
      <c:barChart>
        <c:barDir val="col"/>
        <c:grouping val="clustered"/>
        <c:varyColors val="0"/>
        <c:ser>
          <c:idx val="0"/>
          <c:order val="0"/>
          <c:tx>
            <c:strRef>
              <c:f>Follower_Growth!$B$3:$B$4</c:f>
              <c:strCache>
                <c:ptCount val="1"/>
                <c:pt idx="0">
                  <c:v>Instagram</c:v>
                </c:pt>
              </c:strCache>
            </c:strRef>
          </c:tx>
          <c:spPr>
            <a:solidFill>
              <a:schemeClr val="accent1"/>
            </a:solidFill>
            <a:ln>
              <a:noFill/>
            </a:ln>
            <a:effectLst/>
          </c:spPr>
          <c:invertIfNegative val="0"/>
          <c:cat>
            <c:multiLvlStrRef>
              <c:f>Follower_Growth!$A$5:$A$28</c:f>
              <c:multiLvlStrCache>
                <c:ptCount val="16"/>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pt idx="15">
                    <c:v>Sep</c:v>
                  </c:pt>
                </c:lvl>
                <c:lvl>
                  <c:pt idx="0">
                    <c:v>Qtr2</c:v>
                  </c:pt>
                  <c:pt idx="1">
                    <c:v>Qtr3</c:v>
                  </c:pt>
                  <c:pt idx="4">
                    <c:v>Qtr4</c:v>
                  </c:pt>
                  <c:pt idx="7">
                    <c:v>Qtr1</c:v>
                  </c:pt>
                  <c:pt idx="10">
                    <c:v>Qtr2</c:v>
                  </c:pt>
                  <c:pt idx="13">
                    <c:v>Qtr3</c:v>
                  </c:pt>
                </c:lvl>
                <c:lvl>
                  <c:pt idx="0">
                    <c:v>2024</c:v>
                  </c:pt>
                  <c:pt idx="7">
                    <c:v>2025</c:v>
                  </c:pt>
                </c:lvl>
              </c:multiLvlStrCache>
            </c:multiLvlStrRef>
          </c:cat>
          <c:val>
            <c:numRef>
              <c:f>Follower_Growth!$B$5:$B$28</c:f>
              <c:numCache>
                <c:formatCode>General</c:formatCode>
                <c:ptCount val="16"/>
                <c:pt idx="0">
                  <c:v>3464</c:v>
                </c:pt>
                <c:pt idx="1">
                  <c:v>3401</c:v>
                </c:pt>
                <c:pt idx="2">
                  <c:v>4261</c:v>
                </c:pt>
                <c:pt idx="3">
                  <c:v>3868</c:v>
                </c:pt>
                <c:pt idx="4">
                  <c:v>3573</c:v>
                </c:pt>
                <c:pt idx="5">
                  <c:v>3532</c:v>
                </c:pt>
                <c:pt idx="6">
                  <c:v>3516</c:v>
                </c:pt>
                <c:pt idx="7">
                  <c:v>1693</c:v>
                </c:pt>
                <c:pt idx="8">
                  <c:v>2752</c:v>
                </c:pt>
                <c:pt idx="9">
                  <c:v>3389</c:v>
                </c:pt>
                <c:pt idx="10">
                  <c:v>3363</c:v>
                </c:pt>
                <c:pt idx="11">
                  <c:v>3468</c:v>
                </c:pt>
                <c:pt idx="12">
                  <c:v>2587</c:v>
                </c:pt>
                <c:pt idx="13">
                  <c:v>3623</c:v>
                </c:pt>
                <c:pt idx="14">
                  <c:v>2856</c:v>
                </c:pt>
                <c:pt idx="15">
                  <c:v>1692</c:v>
                </c:pt>
              </c:numCache>
            </c:numRef>
          </c:val>
          <c:extLst>
            <c:ext xmlns:c16="http://schemas.microsoft.com/office/drawing/2014/chart" uri="{C3380CC4-5D6E-409C-BE32-E72D297353CC}">
              <c16:uniqueId val="{00000000-51EE-4924-8975-03879BE3B286}"/>
            </c:ext>
          </c:extLst>
        </c:ser>
        <c:ser>
          <c:idx val="1"/>
          <c:order val="1"/>
          <c:tx>
            <c:strRef>
              <c:f>Follower_Growth!$C$3:$C$4</c:f>
              <c:strCache>
                <c:ptCount val="1"/>
                <c:pt idx="0">
                  <c:v>Twitter</c:v>
                </c:pt>
              </c:strCache>
            </c:strRef>
          </c:tx>
          <c:spPr>
            <a:solidFill>
              <a:schemeClr val="accent2"/>
            </a:solidFill>
            <a:ln>
              <a:noFill/>
            </a:ln>
            <a:effectLst/>
          </c:spPr>
          <c:invertIfNegative val="0"/>
          <c:cat>
            <c:multiLvlStrRef>
              <c:f>Follower_Growth!$A$5:$A$28</c:f>
              <c:multiLvlStrCache>
                <c:ptCount val="16"/>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pt idx="15">
                    <c:v>Sep</c:v>
                  </c:pt>
                </c:lvl>
                <c:lvl>
                  <c:pt idx="0">
                    <c:v>Qtr2</c:v>
                  </c:pt>
                  <c:pt idx="1">
                    <c:v>Qtr3</c:v>
                  </c:pt>
                  <c:pt idx="4">
                    <c:v>Qtr4</c:v>
                  </c:pt>
                  <c:pt idx="7">
                    <c:v>Qtr1</c:v>
                  </c:pt>
                  <c:pt idx="10">
                    <c:v>Qtr2</c:v>
                  </c:pt>
                  <c:pt idx="13">
                    <c:v>Qtr3</c:v>
                  </c:pt>
                </c:lvl>
                <c:lvl>
                  <c:pt idx="0">
                    <c:v>2024</c:v>
                  </c:pt>
                  <c:pt idx="7">
                    <c:v>2025</c:v>
                  </c:pt>
                </c:lvl>
              </c:multiLvlStrCache>
            </c:multiLvlStrRef>
          </c:cat>
          <c:val>
            <c:numRef>
              <c:f>Follower_Growth!$C$5:$C$28</c:f>
              <c:numCache>
                <c:formatCode>General</c:formatCode>
                <c:ptCount val="16"/>
                <c:pt idx="0">
                  <c:v>4710</c:v>
                </c:pt>
                <c:pt idx="1">
                  <c:v>3842</c:v>
                </c:pt>
                <c:pt idx="2">
                  <c:v>2417</c:v>
                </c:pt>
                <c:pt idx="3">
                  <c:v>5557</c:v>
                </c:pt>
                <c:pt idx="4">
                  <c:v>2316</c:v>
                </c:pt>
                <c:pt idx="5">
                  <c:v>3182</c:v>
                </c:pt>
                <c:pt idx="6">
                  <c:v>4273</c:v>
                </c:pt>
                <c:pt idx="7">
                  <c:v>4052</c:v>
                </c:pt>
                <c:pt idx="8">
                  <c:v>2730</c:v>
                </c:pt>
                <c:pt idx="9">
                  <c:v>4298</c:v>
                </c:pt>
                <c:pt idx="10">
                  <c:v>3416</c:v>
                </c:pt>
                <c:pt idx="11">
                  <c:v>3663</c:v>
                </c:pt>
                <c:pt idx="12">
                  <c:v>3807</c:v>
                </c:pt>
                <c:pt idx="13">
                  <c:v>3347</c:v>
                </c:pt>
                <c:pt idx="14">
                  <c:v>3016</c:v>
                </c:pt>
                <c:pt idx="15">
                  <c:v>918</c:v>
                </c:pt>
              </c:numCache>
            </c:numRef>
          </c:val>
          <c:extLst>
            <c:ext xmlns:c16="http://schemas.microsoft.com/office/drawing/2014/chart" uri="{C3380CC4-5D6E-409C-BE32-E72D297353CC}">
              <c16:uniqueId val="{00000001-51EE-4924-8975-03879BE3B286}"/>
            </c:ext>
          </c:extLst>
        </c:ser>
        <c:dLbls>
          <c:showLegendKey val="0"/>
          <c:showVal val="0"/>
          <c:showCatName val="0"/>
          <c:showSerName val="0"/>
          <c:showPercent val="0"/>
          <c:showBubbleSize val="0"/>
        </c:dLbls>
        <c:gapWidth val="219"/>
        <c:overlap val="-27"/>
        <c:axId val="1998256863"/>
        <c:axId val="1998256383"/>
      </c:barChart>
      <c:lineChart>
        <c:grouping val="standard"/>
        <c:varyColors val="0"/>
        <c:ser>
          <c:idx val="2"/>
          <c:order val="2"/>
          <c:tx>
            <c:strRef>
              <c:f>Follower_Growth!$D$3:$D$4</c:f>
              <c:strCache>
                <c:ptCount val="1"/>
                <c:pt idx="0">
                  <c:v>YouTube</c:v>
                </c:pt>
              </c:strCache>
            </c:strRef>
          </c:tx>
          <c:spPr>
            <a:ln w="28575" cap="rnd">
              <a:solidFill>
                <a:schemeClr val="accent3"/>
              </a:solidFill>
              <a:round/>
            </a:ln>
            <a:effectLst/>
          </c:spPr>
          <c:marker>
            <c:symbol val="none"/>
          </c:marker>
          <c:cat>
            <c:multiLvlStrRef>
              <c:f>Follower_Growth!$A$5:$A$28</c:f>
              <c:multiLvlStrCache>
                <c:ptCount val="16"/>
                <c:lvl>
                  <c:pt idx="0">
                    <c:v>Jun</c:v>
                  </c:pt>
                  <c:pt idx="1">
                    <c:v>Jul</c:v>
                  </c:pt>
                  <c:pt idx="2">
                    <c:v>Aug</c:v>
                  </c:pt>
                  <c:pt idx="3">
                    <c:v>Sep</c:v>
                  </c:pt>
                  <c:pt idx="4">
                    <c:v>Oct</c:v>
                  </c:pt>
                  <c:pt idx="5">
                    <c:v>Nov</c:v>
                  </c:pt>
                  <c:pt idx="6">
                    <c:v>Dec</c:v>
                  </c:pt>
                  <c:pt idx="7">
                    <c:v>Jan</c:v>
                  </c:pt>
                  <c:pt idx="8">
                    <c:v>Feb</c:v>
                  </c:pt>
                  <c:pt idx="9">
                    <c:v>Mar</c:v>
                  </c:pt>
                  <c:pt idx="10">
                    <c:v>Apr</c:v>
                  </c:pt>
                  <c:pt idx="11">
                    <c:v>May</c:v>
                  </c:pt>
                  <c:pt idx="12">
                    <c:v>Jun</c:v>
                  </c:pt>
                  <c:pt idx="13">
                    <c:v>Jul</c:v>
                  </c:pt>
                  <c:pt idx="14">
                    <c:v>Aug</c:v>
                  </c:pt>
                  <c:pt idx="15">
                    <c:v>Sep</c:v>
                  </c:pt>
                </c:lvl>
                <c:lvl>
                  <c:pt idx="0">
                    <c:v>Qtr2</c:v>
                  </c:pt>
                  <c:pt idx="1">
                    <c:v>Qtr3</c:v>
                  </c:pt>
                  <c:pt idx="4">
                    <c:v>Qtr4</c:v>
                  </c:pt>
                  <c:pt idx="7">
                    <c:v>Qtr1</c:v>
                  </c:pt>
                  <c:pt idx="10">
                    <c:v>Qtr2</c:v>
                  </c:pt>
                  <c:pt idx="13">
                    <c:v>Qtr3</c:v>
                  </c:pt>
                </c:lvl>
                <c:lvl>
                  <c:pt idx="0">
                    <c:v>2024</c:v>
                  </c:pt>
                  <c:pt idx="7">
                    <c:v>2025</c:v>
                  </c:pt>
                </c:lvl>
              </c:multiLvlStrCache>
            </c:multiLvlStrRef>
          </c:cat>
          <c:val>
            <c:numRef>
              <c:f>Follower_Growth!$D$5:$D$28</c:f>
              <c:numCache>
                <c:formatCode>General</c:formatCode>
                <c:ptCount val="16"/>
                <c:pt idx="0">
                  <c:v>3630</c:v>
                </c:pt>
                <c:pt idx="1">
                  <c:v>5120</c:v>
                </c:pt>
                <c:pt idx="2">
                  <c:v>3837</c:v>
                </c:pt>
                <c:pt idx="3">
                  <c:v>3805</c:v>
                </c:pt>
                <c:pt idx="4">
                  <c:v>4092</c:v>
                </c:pt>
                <c:pt idx="5">
                  <c:v>3878</c:v>
                </c:pt>
                <c:pt idx="6">
                  <c:v>3572</c:v>
                </c:pt>
                <c:pt idx="7">
                  <c:v>2807</c:v>
                </c:pt>
                <c:pt idx="8">
                  <c:v>1815</c:v>
                </c:pt>
                <c:pt idx="9">
                  <c:v>5039</c:v>
                </c:pt>
                <c:pt idx="10">
                  <c:v>3834</c:v>
                </c:pt>
                <c:pt idx="11">
                  <c:v>2801</c:v>
                </c:pt>
                <c:pt idx="12">
                  <c:v>3614</c:v>
                </c:pt>
                <c:pt idx="13">
                  <c:v>4283</c:v>
                </c:pt>
                <c:pt idx="14">
                  <c:v>2629</c:v>
                </c:pt>
                <c:pt idx="15">
                  <c:v>250</c:v>
                </c:pt>
              </c:numCache>
            </c:numRef>
          </c:val>
          <c:smooth val="0"/>
          <c:extLst>
            <c:ext xmlns:c16="http://schemas.microsoft.com/office/drawing/2014/chart" uri="{C3380CC4-5D6E-409C-BE32-E72D297353CC}">
              <c16:uniqueId val="{00000002-51EE-4924-8975-03879BE3B286}"/>
            </c:ext>
          </c:extLst>
        </c:ser>
        <c:dLbls>
          <c:showLegendKey val="0"/>
          <c:showVal val="0"/>
          <c:showCatName val="0"/>
          <c:showSerName val="0"/>
          <c:showPercent val="0"/>
          <c:showBubbleSize val="0"/>
        </c:dLbls>
        <c:marker val="1"/>
        <c:smooth val="0"/>
        <c:axId val="1998253983"/>
        <c:axId val="1998254463"/>
      </c:lineChart>
      <c:catAx>
        <c:axId val="1998253983"/>
        <c:scaling>
          <c:orientation val="minMax"/>
        </c:scaling>
        <c:delete val="0"/>
        <c:axPos val="b"/>
        <c:numFmt formatCode="General" sourceLinked="1"/>
        <c:majorTickMark val="none"/>
        <c:minorTickMark val="none"/>
        <c:tickLblPos val="nextTo"/>
        <c:spPr>
          <a:noFill/>
          <a:ln w="9525" cap="flat" cmpd="sng" algn="ctr">
            <a:solidFill>
              <a:schemeClr val="accent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254463"/>
        <c:crosses val="autoZero"/>
        <c:auto val="1"/>
        <c:lblAlgn val="ctr"/>
        <c:lblOffset val="100"/>
        <c:noMultiLvlLbl val="0"/>
      </c:catAx>
      <c:valAx>
        <c:axId val="19982544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253983"/>
        <c:crosses val="autoZero"/>
        <c:crossBetween val="between"/>
      </c:valAx>
      <c:valAx>
        <c:axId val="199825638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8256863"/>
        <c:crosses val="max"/>
        <c:crossBetween val="between"/>
      </c:valAx>
      <c:catAx>
        <c:axId val="1998256863"/>
        <c:scaling>
          <c:orientation val="minMax"/>
        </c:scaling>
        <c:delete val="1"/>
        <c:axPos val="b"/>
        <c:numFmt formatCode="General" sourceLinked="1"/>
        <c:majorTickMark val="out"/>
        <c:minorTickMark val="none"/>
        <c:tickLblPos val="nextTo"/>
        <c:crossAx val="1998256383"/>
        <c:crosses val="autoZero"/>
        <c:auto val="1"/>
        <c:lblAlgn val="ctr"/>
        <c:lblOffset val="100"/>
        <c:noMultiLvlLbl val="0"/>
      </c:catAx>
      <c:spPr>
        <a:noFill/>
        <a:ln>
          <a:noFill/>
        </a:ln>
        <a:effectLst/>
      </c:spPr>
    </c:plotArea>
    <c:legend>
      <c:legendPos val="r"/>
      <c:layout>
        <c:manualLayout>
          <c:xMode val="edge"/>
          <c:yMode val="edge"/>
          <c:x val="0.43361845282891709"/>
          <c:y val="4.1743852266400587E-2"/>
          <c:w val="0.53309576495520083"/>
          <c:h val="0.125717045785943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a:glow rad="127000">
        <a:schemeClr val="bg1"/>
      </a:glow>
      <a:outerShdw blurRad="50800" dist="50800" dir="5400000" algn="ctr" rotWithShape="0">
        <a:schemeClr val="bg2">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3.xlsx]Visualization!PivotTable4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sng" strike="noStrike" baseline="0">
                <a:latin typeface="Arial" panose="020B0604020202020204" pitchFamily="34" charset="0"/>
                <a:cs typeface="Arial" panose="020B0604020202020204" pitchFamily="34" charset="0"/>
              </a:rPr>
              <a:t>Visualize Ad Spend vs. Engagement </a:t>
            </a:r>
            <a:endParaRPr lang="en-IN" b="1" u="sng">
              <a:latin typeface="Arial" panose="020B0604020202020204" pitchFamily="34" charset="0"/>
              <a:cs typeface="Arial" panose="020B0604020202020204" pitchFamily="34" charset="0"/>
            </a:endParaRPr>
          </a:p>
        </c:rich>
      </c:tx>
      <c:layout>
        <c:manualLayout>
          <c:xMode val="edge"/>
          <c:yMode val="edge"/>
          <c:x val="0.14555984355710477"/>
          <c:y val="1.369015989565721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59492563429571"/>
          <c:y val="0.24583333333333332"/>
          <c:w val="0.52779571303587047"/>
          <c:h val="0.63287839020122483"/>
        </c:manualLayout>
      </c:layout>
      <c:barChart>
        <c:barDir val="col"/>
        <c:grouping val="clustered"/>
        <c:varyColors val="0"/>
        <c:ser>
          <c:idx val="0"/>
          <c:order val="0"/>
          <c:tx>
            <c:strRef>
              <c:f>Visualization!$B$3</c:f>
              <c:strCache>
                <c:ptCount val="1"/>
                <c:pt idx="0">
                  <c:v>Sum of Engagement_Rate</c:v>
                </c:pt>
              </c:strCache>
            </c:strRef>
          </c:tx>
          <c:spPr>
            <a:solidFill>
              <a:schemeClr val="accent1"/>
            </a:solidFill>
            <a:ln>
              <a:noFill/>
            </a:ln>
            <a:effectLst/>
          </c:spPr>
          <c:invertIfNegative val="0"/>
          <c:cat>
            <c:strRef>
              <c:f>Visualization!$A$4:$A$6</c:f>
              <c:strCache>
                <c:ptCount val="3"/>
                <c:pt idx="0">
                  <c:v>Instagram</c:v>
                </c:pt>
                <c:pt idx="1">
                  <c:v>Twitter</c:v>
                </c:pt>
                <c:pt idx="2">
                  <c:v>YouTube</c:v>
                </c:pt>
              </c:strCache>
            </c:strRef>
          </c:cat>
          <c:val>
            <c:numRef>
              <c:f>Visualization!$B$4:$B$6</c:f>
              <c:numCache>
                <c:formatCode>General</c:formatCode>
                <c:ptCount val="3"/>
                <c:pt idx="0">
                  <c:v>432.70000000000016</c:v>
                </c:pt>
                <c:pt idx="1">
                  <c:v>461.34</c:v>
                </c:pt>
                <c:pt idx="2">
                  <c:v>443.44999999999993</c:v>
                </c:pt>
              </c:numCache>
            </c:numRef>
          </c:val>
          <c:extLst>
            <c:ext xmlns:c16="http://schemas.microsoft.com/office/drawing/2014/chart" uri="{C3380CC4-5D6E-409C-BE32-E72D297353CC}">
              <c16:uniqueId val="{00000000-BDA0-4A87-9F3C-A6880F309CF5}"/>
            </c:ext>
          </c:extLst>
        </c:ser>
        <c:dLbls>
          <c:showLegendKey val="0"/>
          <c:showVal val="0"/>
          <c:showCatName val="0"/>
          <c:showSerName val="0"/>
          <c:showPercent val="0"/>
          <c:showBubbleSize val="0"/>
        </c:dLbls>
        <c:gapWidth val="219"/>
        <c:overlap val="-27"/>
        <c:axId val="2031485023"/>
        <c:axId val="2031463423"/>
      </c:barChart>
      <c:lineChart>
        <c:grouping val="standard"/>
        <c:varyColors val="0"/>
        <c:ser>
          <c:idx val="1"/>
          <c:order val="1"/>
          <c:tx>
            <c:strRef>
              <c:f>Visualization!$C$3</c:f>
              <c:strCache>
                <c:ptCount val="1"/>
                <c:pt idx="0">
                  <c:v>Sum of Ad_Spend</c:v>
                </c:pt>
              </c:strCache>
            </c:strRef>
          </c:tx>
          <c:spPr>
            <a:ln w="28575" cap="rnd">
              <a:solidFill>
                <a:schemeClr val="accent2"/>
              </a:solidFill>
              <a:round/>
            </a:ln>
            <a:effectLst/>
          </c:spPr>
          <c:marker>
            <c:symbol val="none"/>
          </c:marker>
          <c:cat>
            <c:strRef>
              <c:f>Visualization!$A$4:$A$6</c:f>
              <c:strCache>
                <c:ptCount val="3"/>
                <c:pt idx="0">
                  <c:v>Instagram</c:v>
                </c:pt>
                <c:pt idx="1">
                  <c:v>Twitter</c:v>
                </c:pt>
                <c:pt idx="2">
                  <c:v>YouTube</c:v>
                </c:pt>
              </c:strCache>
            </c:strRef>
          </c:cat>
          <c:val>
            <c:numRef>
              <c:f>Visualization!$C$4:$C$6</c:f>
              <c:numCache>
                <c:formatCode>General</c:formatCode>
                <c:ptCount val="3"/>
                <c:pt idx="0">
                  <c:v>1035942</c:v>
                </c:pt>
                <c:pt idx="1">
                  <c:v>1114204</c:v>
                </c:pt>
                <c:pt idx="2">
                  <c:v>1065782</c:v>
                </c:pt>
              </c:numCache>
            </c:numRef>
          </c:val>
          <c:smooth val="0"/>
          <c:extLst>
            <c:ext xmlns:c16="http://schemas.microsoft.com/office/drawing/2014/chart" uri="{C3380CC4-5D6E-409C-BE32-E72D297353CC}">
              <c16:uniqueId val="{00000001-BDA0-4A87-9F3C-A6880F309CF5}"/>
            </c:ext>
          </c:extLst>
        </c:ser>
        <c:dLbls>
          <c:showLegendKey val="0"/>
          <c:showVal val="0"/>
          <c:showCatName val="0"/>
          <c:showSerName val="0"/>
          <c:showPercent val="0"/>
          <c:showBubbleSize val="0"/>
        </c:dLbls>
        <c:marker val="1"/>
        <c:smooth val="0"/>
        <c:axId val="2031473983"/>
        <c:axId val="2031475903"/>
      </c:lineChart>
      <c:catAx>
        <c:axId val="2031473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475903"/>
        <c:crosses val="autoZero"/>
        <c:auto val="1"/>
        <c:lblAlgn val="ctr"/>
        <c:lblOffset val="100"/>
        <c:noMultiLvlLbl val="0"/>
      </c:catAx>
      <c:valAx>
        <c:axId val="2031475903"/>
        <c:scaling>
          <c:orientation val="minMax"/>
        </c:scaling>
        <c:delete val="0"/>
        <c:axPos val="l"/>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473983"/>
        <c:crosses val="autoZero"/>
        <c:crossBetween val="between"/>
      </c:valAx>
      <c:valAx>
        <c:axId val="203146342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485023"/>
        <c:crosses val="max"/>
        <c:crossBetween val="between"/>
      </c:valAx>
      <c:catAx>
        <c:axId val="2031485023"/>
        <c:scaling>
          <c:orientation val="minMax"/>
        </c:scaling>
        <c:delete val="1"/>
        <c:axPos val="b"/>
        <c:numFmt formatCode="General" sourceLinked="1"/>
        <c:majorTickMark val="out"/>
        <c:minorTickMark val="none"/>
        <c:tickLblPos val="nextTo"/>
        <c:crossAx val="2031463423"/>
        <c:crosses val="autoZero"/>
        <c:auto val="1"/>
        <c:lblAlgn val="ctr"/>
        <c:lblOffset val="100"/>
        <c:noMultiLvlLbl val="0"/>
      </c:catAx>
      <c:spPr>
        <a:noFill/>
        <a:ln>
          <a:noFill/>
        </a:ln>
        <a:effectLst/>
      </c:spPr>
    </c:plotArea>
    <c:legend>
      <c:legendPos val="r"/>
      <c:layout>
        <c:manualLayout>
          <c:xMode val="edge"/>
          <c:yMode val="edge"/>
          <c:x val="0.74174934383202107"/>
          <c:y val="0.30462853601633127"/>
          <c:w val="0.20269510061242343"/>
          <c:h val="0.381946631671041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tx1"/>
      </a:fgClr>
      <a:bgClr>
        <a:schemeClr val="accent6">
          <a:lumMod val="20000"/>
          <a:lumOff val="80000"/>
        </a:schemeClr>
      </a:bgClr>
    </a:pattFill>
    <a:ln w="9525" cap="flat" cmpd="sng" algn="ctr">
      <a:solidFill>
        <a:schemeClr val="tx1">
          <a:lumMod val="15000"/>
          <a:lumOff val="85000"/>
        </a:schemeClr>
      </a:solidFill>
      <a:round/>
    </a:ln>
    <a:effectLst>
      <a:glow rad="254000">
        <a:schemeClr val="bg1"/>
      </a:glow>
      <a:outerShdw blurRad="50800" dist="50800" dir="5400000" algn="ctr" rotWithShape="0">
        <a:schemeClr val="bg2">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3.xlsx]Performing_Platforms!PivotTable1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latin typeface="Arial" panose="020B0604020202020204" pitchFamily="34" charset="0"/>
                <a:cs typeface="Arial" panose="020B0604020202020204" pitchFamily="34" charset="0"/>
              </a:rPr>
              <a:t>Best Performing Platform Engagement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40000"/>
              <a:lumOff val="60000"/>
            </a:schemeClr>
          </a:solidFill>
          <a:ln>
            <a:solidFill>
              <a:schemeClr val="tx2">
                <a:lumMod val="85000"/>
                <a:lumOff val="15000"/>
              </a:schemeClr>
            </a:solidFill>
          </a:ln>
          <a:effectLst/>
          <a:sp3d>
            <a:contourClr>
              <a:schemeClr val="tx2">
                <a:lumMod val="85000"/>
                <a:lumOff val="1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schemeClr>
          </a:solidFill>
          <a:ln>
            <a:solidFill>
              <a:schemeClr val="tx2">
                <a:lumMod val="85000"/>
                <a:lumOff val="15000"/>
              </a:schemeClr>
            </a:solidFill>
          </a:ln>
          <a:effectLst/>
          <a:sp3d>
            <a:contourClr>
              <a:schemeClr val="tx2">
                <a:lumMod val="85000"/>
                <a:lumOff val="1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solidFill>
              <a:schemeClr val="tx2">
                <a:lumMod val="85000"/>
                <a:lumOff val="15000"/>
              </a:schemeClr>
            </a:solidFill>
          </a:ln>
          <a:effectLst/>
          <a:sp3d>
            <a:contourClr>
              <a:schemeClr val="tx2">
                <a:lumMod val="85000"/>
                <a:lumOff val="1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schemeClr>
          </a:solidFill>
          <a:ln>
            <a:solidFill>
              <a:schemeClr val="tx2">
                <a:lumMod val="85000"/>
                <a:lumOff val="15000"/>
              </a:schemeClr>
            </a:solidFill>
          </a:ln>
          <a:effectLst/>
          <a:sp3d>
            <a:contourClr>
              <a:schemeClr val="tx2">
                <a:lumMod val="85000"/>
                <a:lumOff val="1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Performing_Platforms!$B$3</c:f>
              <c:strCache>
                <c:ptCount val="1"/>
                <c:pt idx="0">
                  <c:v>Total</c:v>
                </c:pt>
              </c:strCache>
            </c:strRef>
          </c:tx>
          <c:spPr>
            <a:solidFill>
              <a:schemeClr val="accent1">
                <a:lumMod val="40000"/>
                <a:lumOff val="60000"/>
              </a:schemeClr>
            </a:solidFill>
            <a:ln>
              <a:solidFill>
                <a:schemeClr val="tx2">
                  <a:lumMod val="85000"/>
                  <a:lumOff val="15000"/>
                </a:schemeClr>
              </a:solidFill>
            </a:ln>
            <a:effectLst/>
            <a:sp3d>
              <a:contourClr>
                <a:schemeClr val="tx2">
                  <a:lumMod val="85000"/>
                  <a:lumOff val="15000"/>
                </a:schemeClr>
              </a:contourClr>
            </a:sp3d>
          </c:spPr>
          <c:invertIfNegative val="0"/>
          <c:cat>
            <c:strRef>
              <c:f>Performing_Platforms!$A$4:$A$6</c:f>
              <c:strCache>
                <c:ptCount val="3"/>
                <c:pt idx="0">
                  <c:v>Instagram</c:v>
                </c:pt>
                <c:pt idx="1">
                  <c:v>Twitter</c:v>
                </c:pt>
                <c:pt idx="2">
                  <c:v>YouTube</c:v>
                </c:pt>
              </c:strCache>
            </c:strRef>
          </c:cat>
          <c:val>
            <c:numRef>
              <c:f>Performing_Platforms!$B$4:$B$6</c:f>
              <c:numCache>
                <c:formatCode>General</c:formatCode>
                <c:ptCount val="3"/>
                <c:pt idx="0">
                  <c:v>6.4582089552238831</c:v>
                </c:pt>
                <c:pt idx="1">
                  <c:v>6.8856716417910446</c:v>
                </c:pt>
                <c:pt idx="2">
                  <c:v>6.7189393939393929</c:v>
                </c:pt>
              </c:numCache>
            </c:numRef>
          </c:val>
          <c:extLst>
            <c:ext xmlns:c16="http://schemas.microsoft.com/office/drawing/2014/chart" uri="{C3380CC4-5D6E-409C-BE32-E72D297353CC}">
              <c16:uniqueId val="{00000000-2461-405C-83F2-4061E7928379}"/>
            </c:ext>
          </c:extLst>
        </c:ser>
        <c:dLbls>
          <c:showLegendKey val="0"/>
          <c:showVal val="0"/>
          <c:showCatName val="0"/>
          <c:showSerName val="0"/>
          <c:showPercent val="0"/>
          <c:showBubbleSize val="0"/>
        </c:dLbls>
        <c:gapWidth val="150"/>
        <c:shape val="box"/>
        <c:axId val="2031683263"/>
        <c:axId val="2031690943"/>
        <c:axId val="0"/>
      </c:bar3DChart>
      <c:catAx>
        <c:axId val="203168326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31690943"/>
        <c:crosses val="autoZero"/>
        <c:auto val="1"/>
        <c:lblAlgn val="ctr"/>
        <c:lblOffset val="100"/>
        <c:noMultiLvlLbl val="0"/>
      </c:catAx>
      <c:valAx>
        <c:axId val="2031690943"/>
        <c:scaling>
          <c:orientation val="minMax"/>
        </c:scaling>
        <c:delete val="0"/>
        <c:axPos val="l"/>
        <c:majorGridlines>
          <c:spPr>
            <a:ln w="9525" cap="flat" cmpd="sng" algn="ctr">
              <a:solidFill>
                <a:schemeClr val="tx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20316832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5000">
          <a:schemeClr val="accent6">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glow rad="127000">
        <a:schemeClr val="bg1"/>
      </a:glow>
      <a:outerShdw blurRad="50800" dist="50800" dir="5400000" algn="ctr" rotWithShape="0">
        <a:schemeClr val="bg2">
          <a:lumMod val="5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9</xdr:col>
      <xdr:colOff>182218</xdr:colOff>
      <xdr:row>3</xdr:row>
      <xdr:rowOff>74546</xdr:rowOff>
    </xdr:from>
    <xdr:to>
      <xdr:col>11</xdr:col>
      <xdr:colOff>447262</xdr:colOff>
      <xdr:row>5</xdr:row>
      <xdr:rowOff>149089</xdr:rowOff>
    </xdr:to>
    <xdr:sp macro="" textlink="">
      <xdr:nvSpPr>
        <xdr:cNvPr id="4" name="TextBox 3">
          <a:extLst>
            <a:ext uri="{FF2B5EF4-FFF2-40B4-BE49-F238E27FC236}">
              <a16:creationId xmlns:a16="http://schemas.microsoft.com/office/drawing/2014/main" id="{39520A34-B531-2398-A33B-65059A33FB99}"/>
            </a:ext>
          </a:extLst>
        </xdr:cNvPr>
        <xdr:cNvSpPr txBox="1"/>
      </xdr:nvSpPr>
      <xdr:spPr>
        <a:xfrm>
          <a:off x="10030240" y="637763"/>
          <a:ext cx="1457739" cy="438978"/>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a:t>Step Used</a:t>
          </a:r>
        </a:p>
      </xdr:txBody>
    </xdr:sp>
    <xdr:clientData/>
  </xdr:twoCellAnchor>
  <xdr:twoCellAnchor>
    <xdr:from>
      <xdr:col>8</xdr:col>
      <xdr:colOff>538369</xdr:colOff>
      <xdr:row>6</xdr:row>
      <xdr:rowOff>140804</xdr:rowOff>
    </xdr:from>
    <xdr:to>
      <xdr:col>14</xdr:col>
      <xdr:colOff>190500</xdr:colOff>
      <xdr:row>11</xdr:row>
      <xdr:rowOff>124238</xdr:rowOff>
    </xdr:to>
    <xdr:sp macro="" textlink="">
      <xdr:nvSpPr>
        <xdr:cNvPr id="5" name="TextBox 4">
          <a:extLst>
            <a:ext uri="{FF2B5EF4-FFF2-40B4-BE49-F238E27FC236}">
              <a16:creationId xmlns:a16="http://schemas.microsoft.com/office/drawing/2014/main" id="{7B5B5F3B-2A0A-32E0-C8B3-4B36D3C625E3}"/>
            </a:ext>
          </a:extLst>
        </xdr:cNvPr>
        <xdr:cNvSpPr txBox="1"/>
      </xdr:nvSpPr>
      <xdr:spPr>
        <a:xfrm>
          <a:off x="9790043" y="1250674"/>
          <a:ext cx="3230218" cy="8945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Metric Selection</a:t>
          </a:r>
          <a:r>
            <a:rPr lang="en-IN" sz="1200"/>
            <a:t> – To determine the actual growth, we first calculated the </a:t>
          </a:r>
          <a:r>
            <a:rPr lang="en-IN" sz="1200" b="1"/>
            <a:t>Net New Followers</a:t>
          </a:r>
          <a:r>
            <a:rPr lang="en-IN" sz="1200"/>
            <a:t> by subtracting </a:t>
          </a:r>
          <a:r>
            <a:rPr lang="en-IN" sz="1200" b="1"/>
            <a:t>Unfollowers</a:t>
          </a:r>
          <a:r>
            <a:rPr lang="en-IN" sz="1200"/>
            <a:t> from </a:t>
          </a:r>
          <a:r>
            <a:rPr lang="en-IN" sz="1200" b="1"/>
            <a:t>New Followers</a:t>
          </a:r>
          <a:r>
            <a:rPr lang="en-IN"/>
            <a:t>.</a:t>
          </a:r>
          <a:endParaRPr lang="en-IN"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99060</xdr:colOff>
      <xdr:row>5</xdr:row>
      <xdr:rowOff>0</xdr:rowOff>
    </xdr:from>
    <xdr:to>
      <xdr:col>10</xdr:col>
      <xdr:colOff>403860</xdr:colOff>
      <xdr:row>20</xdr:row>
      <xdr:rowOff>0</xdr:rowOff>
    </xdr:to>
    <xdr:graphicFrame macro="">
      <xdr:nvGraphicFramePr>
        <xdr:cNvPr id="2" name="Chart 1">
          <a:extLst>
            <a:ext uri="{FF2B5EF4-FFF2-40B4-BE49-F238E27FC236}">
              <a16:creationId xmlns:a16="http://schemas.microsoft.com/office/drawing/2014/main" id="{44B0AEE9-48E0-EC14-058C-38E1DE4D6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518160</xdr:colOff>
      <xdr:row>4</xdr:row>
      <xdr:rowOff>22860</xdr:rowOff>
    </xdr:from>
    <xdr:to>
      <xdr:col>11</xdr:col>
      <xdr:colOff>213360</xdr:colOff>
      <xdr:row>19</xdr:row>
      <xdr:rowOff>22860</xdr:rowOff>
    </xdr:to>
    <xdr:graphicFrame macro="">
      <xdr:nvGraphicFramePr>
        <xdr:cNvPr id="4" name="Chart 3">
          <a:extLst>
            <a:ext uri="{FF2B5EF4-FFF2-40B4-BE49-F238E27FC236}">
              <a16:creationId xmlns:a16="http://schemas.microsoft.com/office/drawing/2014/main" id="{3C0D02EC-B6B0-8AC3-2162-06BCD9EAD7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243840</xdr:colOff>
      <xdr:row>7</xdr:row>
      <xdr:rowOff>144780</xdr:rowOff>
    </xdr:from>
    <xdr:to>
      <xdr:col>12</xdr:col>
      <xdr:colOff>579120</xdr:colOff>
      <xdr:row>22</xdr:row>
      <xdr:rowOff>144780</xdr:rowOff>
    </xdr:to>
    <xdr:graphicFrame macro="">
      <xdr:nvGraphicFramePr>
        <xdr:cNvPr id="4" name="Chart 3">
          <a:extLst>
            <a:ext uri="{FF2B5EF4-FFF2-40B4-BE49-F238E27FC236}">
              <a16:creationId xmlns:a16="http://schemas.microsoft.com/office/drawing/2014/main" id="{95929BE0-3D79-35C4-2158-59622E9F36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373380</xdr:colOff>
      <xdr:row>4</xdr:row>
      <xdr:rowOff>0</xdr:rowOff>
    </xdr:from>
    <xdr:to>
      <xdr:col>11</xdr:col>
      <xdr:colOff>228600</xdr:colOff>
      <xdr:row>18</xdr:row>
      <xdr:rowOff>114300</xdr:rowOff>
    </xdr:to>
    <xdr:graphicFrame macro="">
      <xdr:nvGraphicFramePr>
        <xdr:cNvPr id="12" name="Chart 1">
          <a:extLst>
            <a:ext uri="{FF2B5EF4-FFF2-40B4-BE49-F238E27FC236}">
              <a16:creationId xmlns:a16="http://schemas.microsoft.com/office/drawing/2014/main" id="{AB52F69D-0574-4789-87D2-10F9E1CFA7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411480</xdr:colOff>
      <xdr:row>20</xdr:row>
      <xdr:rowOff>60960</xdr:rowOff>
    </xdr:from>
    <xdr:to>
      <xdr:col>17</xdr:col>
      <xdr:colOff>0</xdr:colOff>
      <xdr:row>33</xdr:row>
      <xdr:rowOff>167640</xdr:rowOff>
    </xdr:to>
    <xdr:graphicFrame macro="">
      <xdr:nvGraphicFramePr>
        <xdr:cNvPr id="10" name="Chart 2">
          <a:extLst>
            <a:ext uri="{FF2B5EF4-FFF2-40B4-BE49-F238E27FC236}">
              <a16:creationId xmlns:a16="http://schemas.microsoft.com/office/drawing/2014/main" id="{DCBBBF4C-1853-4E81-8F0A-435D47FB2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358140</xdr:colOff>
      <xdr:row>20</xdr:row>
      <xdr:rowOff>53340</xdr:rowOff>
    </xdr:from>
    <xdr:to>
      <xdr:col>9</xdr:col>
      <xdr:colOff>381000</xdr:colOff>
      <xdr:row>32</xdr:row>
      <xdr:rowOff>129540</xdr:rowOff>
    </xdr:to>
    <xdr:graphicFrame macro="">
      <xdr:nvGraphicFramePr>
        <xdr:cNvPr id="9" name="Chart 3">
          <a:extLst>
            <a:ext uri="{FF2B5EF4-FFF2-40B4-BE49-F238E27FC236}">
              <a16:creationId xmlns:a16="http://schemas.microsoft.com/office/drawing/2014/main" id="{5AD354FC-0BF7-48C7-99A7-A690A6BCA6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419100</xdr:colOff>
      <xdr:row>4</xdr:row>
      <xdr:rowOff>45720</xdr:rowOff>
    </xdr:from>
    <xdr:to>
      <xdr:col>18</xdr:col>
      <xdr:colOff>358140</xdr:colOff>
      <xdr:row>18</xdr:row>
      <xdr:rowOff>160020</xdr:rowOff>
    </xdr:to>
    <xdr:sp macro="" textlink="">
      <xdr:nvSpPr>
        <xdr:cNvPr id="5" name="TextBox 5">
          <a:extLst>
            <a:ext uri="{FF2B5EF4-FFF2-40B4-BE49-F238E27FC236}">
              <a16:creationId xmlns:a16="http://schemas.microsoft.com/office/drawing/2014/main" id="{10DD69F1-FD13-D7D0-40F1-544FE0B2473B}"/>
            </a:ext>
          </a:extLst>
        </xdr:cNvPr>
        <xdr:cNvSpPr txBox="1"/>
      </xdr:nvSpPr>
      <xdr:spPr>
        <a:xfrm>
          <a:off x="7124700" y="777240"/>
          <a:ext cx="4206240" cy="26746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Recommendation</a:t>
          </a:r>
        </a:p>
        <a:p>
          <a:r>
            <a:rPr lang="en-IN" b="1"/>
            <a:t>Strategy: Continued Multi-Platform Approach with Strategic Re-allocation.</a:t>
          </a:r>
          <a:endParaRPr lang="en-IN"/>
        </a:p>
        <a:p>
          <a:r>
            <a:rPr lang="en-IN" b="1"/>
            <a:t>Twitter (Scaling):</a:t>
          </a:r>
          <a:r>
            <a:rPr lang="en-IN"/>
            <a:t> We should maintain a heavy focus on Twitter. The data justifies the high Ad Spend because it directly translates into the highest engagement (~6.9), proving it is our most "Active Audience" hub.</a:t>
          </a:r>
        </a:p>
        <a:p>
          <a:r>
            <a:rPr lang="en-IN" b="1"/>
            <a:t>YouTube (Stability):</a:t>
          </a:r>
          <a:r>
            <a:rPr lang="en-IN"/>
            <a:t> YouTube should remain a primary focus for long-term organic growth, as it provides the most stable and reliable follower increments over time.</a:t>
          </a:r>
        </a:p>
        <a:p>
          <a:r>
            <a:rPr lang="en-IN" b="1"/>
            <a:t>Instagram (Strategic Pivot):</a:t>
          </a:r>
          <a:r>
            <a:rPr lang="en-IN"/>
            <a:t> Instead of reducing focus, we should </a:t>
          </a:r>
          <a:r>
            <a:rPr lang="en-IN" b="1"/>
            <a:t>increase strategic attention</a:t>
          </a:r>
          <a:r>
            <a:rPr lang="en-IN"/>
            <a:t> on Instagram. Since current engagement (6.5) and growth are underperforming compared to spend, we need to optimize content or targeting to improve the Return on Investment (ROI) to match Twitter’s success.</a:t>
          </a:r>
        </a:p>
        <a:p>
          <a:endParaRPr lang="en-IN" sz="1100"/>
        </a:p>
      </xdr:txBody>
    </xdr:sp>
    <xdr:clientData/>
  </xdr:twoCellAnchor>
  <xdr:twoCellAnchor editAs="oneCell">
    <xdr:from>
      <xdr:col>0</xdr:col>
      <xdr:colOff>0</xdr:colOff>
      <xdr:row>3</xdr:row>
      <xdr:rowOff>91441</xdr:rowOff>
    </xdr:from>
    <xdr:to>
      <xdr:col>2</xdr:col>
      <xdr:colOff>76200</xdr:colOff>
      <xdr:row>9</xdr:row>
      <xdr:rowOff>175260</xdr:rowOff>
    </xdr:to>
    <mc:AlternateContent xmlns:mc="http://schemas.openxmlformats.org/markup-compatibility/2006" xmlns:a14="http://schemas.microsoft.com/office/drawing/2010/main">
      <mc:Choice Requires="a14">
        <xdr:graphicFrame macro="">
          <xdr:nvGraphicFramePr>
            <xdr:cNvPr id="14" name="Platform">
              <a:extLst>
                <a:ext uri="{FF2B5EF4-FFF2-40B4-BE49-F238E27FC236}">
                  <a16:creationId xmlns:a16="http://schemas.microsoft.com/office/drawing/2014/main" id="{6A753017-4FC3-5A5E-24AE-0105FE27BD0D}"/>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0" y="651278"/>
              <a:ext cx="1289180" cy="12034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68581</xdr:rowOff>
    </xdr:from>
    <xdr:to>
      <xdr:col>2</xdr:col>
      <xdr:colOff>60960</xdr:colOff>
      <xdr:row>25</xdr:row>
      <xdr:rowOff>60961</xdr:rowOff>
    </xdr:to>
    <mc:AlternateContent xmlns:mc="http://schemas.openxmlformats.org/markup-compatibility/2006" xmlns:a14="http://schemas.microsoft.com/office/drawing/2010/main">
      <mc:Choice Requires="a14">
        <xdr:graphicFrame macro="">
          <xdr:nvGraphicFramePr>
            <xdr:cNvPr id="15" name="Months (Week_Start_Date)">
              <a:extLst>
                <a:ext uri="{FF2B5EF4-FFF2-40B4-BE49-F238E27FC236}">
                  <a16:creationId xmlns:a16="http://schemas.microsoft.com/office/drawing/2014/main" id="{9B7476E2-9226-66BF-A49C-0B76EEF7366D}"/>
                </a:ext>
              </a:extLst>
            </xdr:cNvPr>
            <xdr:cNvGraphicFramePr/>
          </xdr:nvGraphicFramePr>
          <xdr:xfrm>
            <a:off x="0" y="0"/>
            <a:ext cx="0" cy="0"/>
          </xdr:xfrm>
          <a:graphic>
            <a:graphicData uri="http://schemas.microsoft.com/office/drawing/2010/slicer">
              <sle:slicer xmlns:sle="http://schemas.microsoft.com/office/drawing/2010/slicer" name="Months (Week_Start_Date)"/>
            </a:graphicData>
          </a:graphic>
        </xdr:graphicFrame>
      </mc:Choice>
      <mc:Fallback xmlns="">
        <xdr:sp macro="" textlink="">
          <xdr:nvSpPr>
            <xdr:cNvPr id="0" name=""/>
            <xdr:cNvSpPr>
              <a:spLocks noTextEdit="1"/>
            </xdr:cNvSpPr>
          </xdr:nvSpPr>
          <xdr:spPr>
            <a:xfrm>
              <a:off x="0" y="3427601"/>
              <a:ext cx="1273940" cy="12986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53340</xdr:rowOff>
    </xdr:from>
    <xdr:to>
      <xdr:col>2</xdr:col>
      <xdr:colOff>76200</xdr:colOff>
      <xdr:row>18</xdr:row>
      <xdr:rowOff>38099</xdr:rowOff>
    </xdr:to>
    <mc:AlternateContent xmlns:mc="http://schemas.openxmlformats.org/markup-compatibility/2006" xmlns:a14="http://schemas.microsoft.com/office/drawing/2010/main">
      <mc:Choice Requires="a14">
        <xdr:graphicFrame macro="">
          <xdr:nvGraphicFramePr>
            <xdr:cNvPr id="16" name="Quarters (Week_Start_Date)">
              <a:extLst>
                <a:ext uri="{FF2B5EF4-FFF2-40B4-BE49-F238E27FC236}">
                  <a16:creationId xmlns:a16="http://schemas.microsoft.com/office/drawing/2014/main" id="{C2B81B5B-6FB2-B7F8-1AB4-1832C4493EE2}"/>
                </a:ext>
              </a:extLst>
            </xdr:cNvPr>
            <xdr:cNvGraphicFramePr/>
          </xdr:nvGraphicFramePr>
          <xdr:xfrm>
            <a:off x="0" y="0"/>
            <a:ext cx="0" cy="0"/>
          </xdr:xfrm>
          <a:graphic>
            <a:graphicData uri="http://schemas.microsoft.com/office/drawing/2010/slicer">
              <sle:slicer xmlns:sle="http://schemas.microsoft.com/office/drawing/2010/slicer" name="Quarters (Week_Start_Date)"/>
            </a:graphicData>
          </a:graphic>
        </xdr:graphicFrame>
      </mc:Choice>
      <mc:Fallback xmlns="">
        <xdr:sp macro="" textlink="">
          <xdr:nvSpPr>
            <xdr:cNvPr id="0" name=""/>
            <xdr:cNvSpPr>
              <a:spLocks noTextEdit="1"/>
            </xdr:cNvSpPr>
          </xdr:nvSpPr>
          <xdr:spPr>
            <a:xfrm>
              <a:off x="0" y="1919462"/>
              <a:ext cx="1289180" cy="1477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xdr:colOff>
      <xdr:row>25</xdr:row>
      <xdr:rowOff>137160</xdr:rowOff>
    </xdr:from>
    <xdr:to>
      <xdr:col>2</xdr:col>
      <xdr:colOff>83820</xdr:colOff>
      <xdr:row>30</xdr:row>
      <xdr:rowOff>121919</xdr:rowOff>
    </xdr:to>
    <mc:AlternateContent xmlns:mc="http://schemas.openxmlformats.org/markup-compatibility/2006" xmlns:a14="http://schemas.microsoft.com/office/drawing/2010/main">
      <mc:Choice Requires="a14">
        <xdr:graphicFrame macro="">
          <xdr:nvGraphicFramePr>
            <xdr:cNvPr id="17" name="Years (Week_Start_Date)">
              <a:extLst>
                <a:ext uri="{FF2B5EF4-FFF2-40B4-BE49-F238E27FC236}">
                  <a16:creationId xmlns:a16="http://schemas.microsoft.com/office/drawing/2014/main" id="{1162E8C2-5A3F-27A4-D92F-75F67D87CC96}"/>
                </a:ext>
              </a:extLst>
            </xdr:cNvPr>
            <xdr:cNvGraphicFramePr/>
          </xdr:nvGraphicFramePr>
          <xdr:xfrm>
            <a:off x="0" y="0"/>
            <a:ext cx="0" cy="0"/>
          </xdr:xfrm>
          <a:graphic>
            <a:graphicData uri="http://schemas.microsoft.com/office/drawing/2010/slicer">
              <sle:slicer xmlns:sle="http://schemas.microsoft.com/office/drawing/2010/slicer" name="Years (Week_Start_Date)"/>
            </a:graphicData>
          </a:graphic>
        </xdr:graphicFrame>
      </mc:Choice>
      <mc:Fallback xmlns="">
        <xdr:sp macro="" textlink="">
          <xdr:nvSpPr>
            <xdr:cNvPr id="0" name=""/>
            <xdr:cNvSpPr>
              <a:spLocks noTextEdit="1"/>
            </xdr:cNvSpPr>
          </xdr:nvSpPr>
          <xdr:spPr>
            <a:xfrm>
              <a:off x="30480" y="4802466"/>
              <a:ext cx="1266320" cy="917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PNA JEBBNOLLA" refreshedDate="46082.790067361108" createdVersion="8" refreshedVersion="8" minRefreshableVersion="3" recordCount="200" xr:uid="{CD867EA9-59BC-471F-B4A3-19E11BA23896}">
  <cacheSource type="worksheet">
    <worksheetSource ref="A3:H203" sheet="Engagement Summary"/>
  </cacheSource>
  <cacheFields count="11">
    <cacheField name="Week_Start_Date" numFmtId="164">
      <sharedItems containsSemiMixedTypes="0" containsNonDate="0" containsDate="1" containsString="0" minDate="2024-06-03T00:00:00" maxDate="2025-09-09T00:00:00" count="67">
        <d v="2024-06-03T00:00:00"/>
        <d v="2024-06-10T00:00:00"/>
        <d v="2024-06-17T00:00:00"/>
        <d v="2024-06-24T00:00:00"/>
        <d v="2024-07-01T00:00:00"/>
        <d v="2024-07-08T00:00:00"/>
        <d v="2024-07-15T00:00:00"/>
        <d v="2024-07-22T00:00:00"/>
        <d v="2024-07-29T00:00:00"/>
        <d v="2024-08-05T00:00:00"/>
        <d v="2024-08-12T00:00:00"/>
        <d v="2024-08-19T00:00:00"/>
        <d v="2024-08-26T00:00:00"/>
        <d v="2024-09-02T00:00:00"/>
        <d v="2024-09-09T00:00:00"/>
        <d v="2024-09-16T00:00:00"/>
        <d v="2024-09-23T00:00:00"/>
        <d v="2024-09-30T00:00:00"/>
        <d v="2024-10-07T00:00:00"/>
        <d v="2024-10-14T00:00:00"/>
        <d v="2024-10-21T00:00:00"/>
        <d v="2024-10-28T00:00:00"/>
        <d v="2024-11-04T00:00:00"/>
        <d v="2024-11-11T00:00:00"/>
        <d v="2024-11-18T00:00:00"/>
        <d v="2024-11-25T00:00:00"/>
        <d v="2024-12-02T00:00:00"/>
        <d v="2024-12-09T00:00:00"/>
        <d v="2024-12-16T00:00:00"/>
        <d v="2024-12-23T00:00:00"/>
        <d v="2024-12-30T00:00:00"/>
        <d v="2025-01-06T00:00:00"/>
        <d v="2025-01-13T00:00:00"/>
        <d v="2025-01-20T00:00:00"/>
        <d v="2025-01-27T00:00:00"/>
        <d v="2025-02-03T00:00:00"/>
        <d v="2025-02-10T00:00:00"/>
        <d v="2025-02-17T00:00:00"/>
        <d v="2025-02-24T00:00:00"/>
        <d v="2025-03-03T00:00:00"/>
        <d v="2025-03-10T00:00:00"/>
        <d v="2025-03-17T00:00:00"/>
        <d v="2025-03-24T00:00:00"/>
        <d v="2025-03-31T00:00:00"/>
        <d v="2025-04-07T00:00:00"/>
        <d v="2025-04-14T00:00:00"/>
        <d v="2025-04-21T00:00:00"/>
        <d v="2025-04-28T00:00:00"/>
        <d v="2025-05-05T00:00:00"/>
        <d v="2025-05-12T00:00:00"/>
        <d v="2025-05-19T00:00:00"/>
        <d v="2025-05-26T00:00:00"/>
        <d v="2025-06-02T00:00:00"/>
        <d v="2025-06-09T00:00:00"/>
        <d v="2025-06-16T00:00:00"/>
        <d v="2025-06-23T00:00:00"/>
        <d v="2025-06-30T00:00:00"/>
        <d v="2025-07-07T00:00:00"/>
        <d v="2025-07-14T00:00:00"/>
        <d v="2025-07-21T00:00:00"/>
        <d v="2025-07-28T00:00:00"/>
        <d v="2025-08-04T00:00:00"/>
        <d v="2025-08-11T00:00:00"/>
        <d v="2025-08-18T00:00:00"/>
        <d v="2025-08-25T00:00:00"/>
        <d v="2025-09-01T00:00:00"/>
        <d v="2025-09-08T00:00:00"/>
      </sharedItems>
      <fieldGroup par="10"/>
    </cacheField>
    <cacheField name="Platform" numFmtId="0">
      <sharedItems count="3">
        <s v="Instagram"/>
        <s v="Twitter"/>
        <s v="YouTube"/>
      </sharedItems>
    </cacheField>
    <cacheField name="New_Followers" numFmtId="0">
      <sharedItems containsSemiMixedTypes="0" containsString="0" containsNumber="1" containsInteger="1" minValue="503" maxValue="1490"/>
    </cacheField>
    <cacheField name="Unfollows" numFmtId="0">
      <sharedItems containsSemiMixedTypes="0" containsString="0" containsNumber="1" containsInteger="1" minValue="50" maxValue="296"/>
    </cacheField>
    <cacheField name="Follower Growth" numFmtId="0">
      <sharedItems containsSemiMixedTypes="0" containsString="0" containsNumber="1" containsInteger="1" minValue="250" maxValue="1397"/>
    </cacheField>
    <cacheField name="Total_Followers" numFmtId="0">
      <sharedItems containsSemiMixedTypes="0" containsString="0" containsNumber="1" containsInteger="1" minValue="61445" maxValue="397607"/>
    </cacheField>
    <cacheField name="Engagement_Rate" numFmtId="0">
      <sharedItems containsSemiMixedTypes="0" containsString="0" containsNumber="1" minValue="3.08" maxValue="9.99"/>
    </cacheField>
    <cacheField name="Ad_Spend" numFmtId="0">
      <sharedItems containsSemiMixedTypes="0" containsString="0" containsNumber="1" containsInteger="1" minValue="5281" maxValue="27829"/>
    </cacheField>
    <cacheField name="Months (Week_Start_Date)" numFmtId="0" databaseField="0">
      <fieldGroup base="0">
        <rangePr groupBy="months" startDate="2024-06-03T00:00:00" endDate="2025-09-09T00:00:00"/>
        <groupItems count="14">
          <s v="&lt;03-06-2024"/>
          <s v="Jan"/>
          <s v="Feb"/>
          <s v="Mar"/>
          <s v="Apr"/>
          <s v="May"/>
          <s v="Jun"/>
          <s v="Jul"/>
          <s v="Aug"/>
          <s v="Sep"/>
          <s v="Oct"/>
          <s v="Nov"/>
          <s v="Dec"/>
          <s v="&gt;09-09-2025"/>
        </groupItems>
      </fieldGroup>
    </cacheField>
    <cacheField name="Quarters (Week_Start_Date)" numFmtId="0" databaseField="0">
      <fieldGroup base="0">
        <rangePr groupBy="quarters" startDate="2024-06-03T00:00:00" endDate="2025-09-09T00:00:00"/>
        <groupItems count="6">
          <s v="&lt;03-06-2024"/>
          <s v="Qtr1"/>
          <s v="Qtr2"/>
          <s v="Qtr3"/>
          <s v="Qtr4"/>
          <s v="&gt;09-09-2025"/>
        </groupItems>
      </fieldGroup>
    </cacheField>
    <cacheField name="Years (Week_Start_Date)" numFmtId="0" databaseField="0">
      <fieldGroup base="0">
        <rangePr groupBy="years" startDate="2024-06-03T00:00:00" endDate="2025-09-09T00:00:00"/>
        <groupItems count="4">
          <s v="&lt;03-06-2024"/>
          <s v="2024"/>
          <s v="2025"/>
          <s v="&gt;09-09-2025"/>
        </groupItems>
      </fieldGroup>
    </cacheField>
  </cacheFields>
  <extLst>
    <ext xmlns:x14="http://schemas.microsoft.com/office/spreadsheetml/2009/9/main" uri="{725AE2AE-9491-48be-B2B4-4EB974FC3084}">
      <x14:pivotCacheDefinition pivotCacheId="14041374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n v="1402"/>
    <n v="68"/>
    <n v="1334"/>
    <n v="124562"/>
    <n v="9.92"/>
    <n v="23125"/>
  </r>
  <r>
    <x v="0"/>
    <x v="1"/>
    <n v="995"/>
    <n v="86"/>
    <n v="909"/>
    <n v="227958"/>
    <n v="8.0500000000000007"/>
    <n v="22788"/>
  </r>
  <r>
    <x v="0"/>
    <x v="2"/>
    <n v="1472"/>
    <n v="296"/>
    <n v="1176"/>
    <n v="370242"/>
    <n v="7.72"/>
    <n v="7810"/>
  </r>
  <r>
    <x v="1"/>
    <x v="0"/>
    <n v="1018"/>
    <n v="90"/>
    <n v="928"/>
    <n v="92474"/>
    <n v="9.4"/>
    <n v="11966"/>
  </r>
  <r>
    <x v="1"/>
    <x v="1"/>
    <n v="1461"/>
    <n v="64"/>
    <n v="1397"/>
    <n v="328902"/>
    <n v="9.02"/>
    <n v="26298"/>
  </r>
  <r>
    <x v="1"/>
    <x v="2"/>
    <n v="545"/>
    <n v="93"/>
    <n v="452"/>
    <n v="391621"/>
    <n v="9.9600000000000009"/>
    <n v="22029"/>
  </r>
  <r>
    <x v="2"/>
    <x v="0"/>
    <n v="881"/>
    <n v="291"/>
    <n v="590"/>
    <n v="95885"/>
    <n v="5.29"/>
    <n v="12391"/>
  </r>
  <r>
    <x v="2"/>
    <x v="1"/>
    <n v="1414"/>
    <n v="131"/>
    <n v="1283"/>
    <n v="245947"/>
    <n v="8.3000000000000007"/>
    <n v="14477"/>
  </r>
  <r>
    <x v="2"/>
    <x v="2"/>
    <n v="1472"/>
    <n v="170"/>
    <n v="1302"/>
    <n v="250428"/>
    <n v="4.66"/>
    <n v="25040"/>
  </r>
  <r>
    <x v="3"/>
    <x v="0"/>
    <n v="809"/>
    <n v="197"/>
    <n v="612"/>
    <n v="87186"/>
    <n v="9.48"/>
    <n v="22619"/>
  </r>
  <r>
    <x v="3"/>
    <x v="1"/>
    <n v="1371"/>
    <n v="250"/>
    <n v="1121"/>
    <n v="128620"/>
    <n v="7.11"/>
    <n v="12399"/>
  </r>
  <r>
    <x v="3"/>
    <x v="2"/>
    <n v="844"/>
    <n v="144"/>
    <n v="700"/>
    <n v="126015"/>
    <n v="9.65"/>
    <n v="22456"/>
  </r>
  <r>
    <x v="4"/>
    <x v="0"/>
    <n v="786"/>
    <n v="72"/>
    <n v="714"/>
    <n v="178615"/>
    <n v="5.43"/>
    <n v="19328"/>
  </r>
  <r>
    <x v="4"/>
    <x v="1"/>
    <n v="845"/>
    <n v="250"/>
    <n v="595"/>
    <n v="218228"/>
    <n v="4.5199999999999996"/>
    <n v="21107"/>
  </r>
  <r>
    <x v="4"/>
    <x v="2"/>
    <n v="1218"/>
    <n v="101"/>
    <n v="1117"/>
    <n v="300397"/>
    <n v="4.33"/>
    <n v="12277"/>
  </r>
  <r>
    <x v="5"/>
    <x v="0"/>
    <n v="797"/>
    <n v="130"/>
    <n v="667"/>
    <n v="340121"/>
    <n v="8.52"/>
    <n v="11684"/>
  </r>
  <r>
    <x v="5"/>
    <x v="1"/>
    <n v="1471"/>
    <n v="100"/>
    <n v="1371"/>
    <n v="76866"/>
    <n v="8.5500000000000007"/>
    <n v="14412"/>
  </r>
  <r>
    <x v="5"/>
    <x v="2"/>
    <n v="1253"/>
    <n v="136"/>
    <n v="1117"/>
    <n v="193131"/>
    <n v="7.99"/>
    <n v="15924"/>
  </r>
  <r>
    <x v="6"/>
    <x v="0"/>
    <n v="616"/>
    <n v="257"/>
    <n v="359"/>
    <n v="169665"/>
    <n v="6.31"/>
    <n v="12390"/>
  </r>
  <r>
    <x v="6"/>
    <x v="1"/>
    <n v="1308"/>
    <n v="210"/>
    <n v="1098"/>
    <n v="263729"/>
    <n v="8.5299999999999994"/>
    <n v="25742"/>
  </r>
  <r>
    <x v="6"/>
    <x v="2"/>
    <n v="981"/>
    <n v="69"/>
    <n v="912"/>
    <n v="206921"/>
    <n v="8.42"/>
    <n v="10495"/>
  </r>
  <r>
    <x v="7"/>
    <x v="0"/>
    <n v="866"/>
    <n v="74"/>
    <n v="792"/>
    <n v="204121"/>
    <n v="9.34"/>
    <n v="7797"/>
  </r>
  <r>
    <x v="7"/>
    <x v="1"/>
    <n v="547"/>
    <n v="183"/>
    <n v="364"/>
    <n v="266350"/>
    <n v="5.65"/>
    <n v="15595"/>
  </r>
  <r>
    <x v="7"/>
    <x v="2"/>
    <n v="1241"/>
    <n v="116"/>
    <n v="1125"/>
    <n v="380606"/>
    <n v="4.2"/>
    <n v="24617"/>
  </r>
  <r>
    <x v="8"/>
    <x v="0"/>
    <n v="973"/>
    <n v="104"/>
    <n v="869"/>
    <n v="376358"/>
    <n v="3.87"/>
    <n v="9847"/>
  </r>
  <r>
    <x v="8"/>
    <x v="1"/>
    <n v="611"/>
    <n v="197"/>
    <n v="414"/>
    <n v="79423"/>
    <n v="5.82"/>
    <n v="13644"/>
  </r>
  <r>
    <x v="8"/>
    <x v="2"/>
    <n v="983"/>
    <n v="134"/>
    <n v="849"/>
    <n v="352178"/>
    <n v="3.55"/>
    <n v="11421"/>
  </r>
  <r>
    <x v="9"/>
    <x v="0"/>
    <n v="1449"/>
    <n v="96"/>
    <n v="1353"/>
    <n v="200636"/>
    <n v="9.92"/>
    <n v="15613"/>
  </r>
  <r>
    <x v="9"/>
    <x v="1"/>
    <n v="752"/>
    <n v="170"/>
    <n v="582"/>
    <n v="132756"/>
    <n v="8.17"/>
    <n v="23900"/>
  </r>
  <r>
    <x v="9"/>
    <x v="2"/>
    <n v="937"/>
    <n v="179"/>
    <n v="758"/>
    <n v="318098"/>
    <n v="5.3"/>
    <n v="5836"/>
  </r>
  <r>
    <x v="10"/>
    <x v="0"/>
    <n v="1060"/>
    <n v="83"/>
    <n v="977"/>
    <n v="68724"/>
    <n v="5.98"/>
    <n v="5624"/>
  </r>
  <r>
    <x v="10"/>
    <x v="1"/>
    <n v="1456"/>
    <n v="265"/>
    <n v="1191"/>
    <n v="115505"/>
    <n v="7.49"/>
    <n v="10311"/>
  </r>
  <r>
    <x v="10"/>
    <x v="2"/>
    <n v="1109"/>
    <n v="205"/>
    <n v="904"/>
    <n v="276722"/>
    <n v="9.3800000000000008"/>
    <n v="8274"/>
  </r>
  <r>
    <x v="11"/>
    <x v="0"/>
    <n v="1002"/>
    <n v="93"/>
    <n v="909"/>
    <n v="353538"/>
    <n v="5.84"/>
    <n v="6031"/>
  </r>
  <r>
    <x v="11"/>
    <x v="1"/>
    <n v="571"/>
    <n v="189"/>
    <n v="382"/>
    <n v="61445"/>
    <n v="5.41"/>
    <n v="27829"/>
  </r>
  <r>
    <x v="11"/>
    <x v="2"/>
    <n v="1240"/>
    <n v="231"/>
    <n v="1009"/>
    <n v="165035"/>
    <n v="6.05"/>
    <n v="18267"/>
  </r>
  <r>
    <x v="12"/>
    <x v="0"/>
    <n v="1154"/>
    <n v="132"/>
    <n v="1022"/>
    <n v="194595"/>
    <n v="7.54"/>
    <n v="26624"/>
  </r>
  <r>
    <x v="12"/>
    <x v="1"/>
    <n v="537"/>
    <n v="275"/>
    <n v="262"/>
    <n v="236238"/>
    <n v="5.87"/>
    <n v="26644"/>
  </r>
  <r>
    <x v="12"/>
    <x v="2"/>
    <n v="1456"/>
    <n v="290"/>
    <n v="1166"/>
    <n v="271044"/>
    <n v="7.17"/>
    <n v="13051"/>
  </r>
  <r>
    <x v="13"/>
    <x v="0"/>
    <n v="721"/>
    <n v="206"/>
    <n v="515"/>
    <n v="334887"/>
    <n v="6.05"/>
    <n v="14217"/>
  </r>
  <r>
    <x v="13"/>
    <x v="1"/>
    <n v="1098"/>
    <n v="142"/>
    <n v="956"/>
    <n v="359150"/>
    <n v="7.51"/>
    <n v="16385"/>
  </r>
  <r>
    <x v="13"/>
    <x v="2"/>
    <n v="1096"/>
    <n v="65"/>
    <n v="1031"/>
    <n v="358295"/>
    <n v="7.66"/>
    <n v="24548"/>
  </r>
  <r>
    <x v="14"/>
    <x v="0"/>
    <n v="912"/>
    <n v="275"/>
    <n v="637"/>
    <n v="368454"/>
    <n v="6.03"/>
    <n v="9195"/>
  </r>
  <r>
    <x v="14"/>
    <x v="1"/>
    <n v="1430"/>
    <n v="162"/>
    <n v="1268"/>
    <n v="269082"/>
    <n v="3.4"/>
    <n v="18071"/>
  </r>
  <r>
    <x v="14"/>
    <x v="2"/>
    <n v="854"/>
    <n v="129"/>
    <n v="725"/>
    <n v="310903"/>
    <n v="7.83"/>
    <n v="16875"/>
  </r>
  <r>
    <x v="15"/>
    <x v="0"/>
    <n v="681"/>
    <n v="210"/>
    <n v="471"/>
    <n v="248581"/>
    <n v="8.76"/>
    <n v="9567"/>
  </r>
  <r>
    <x v="15"/>
    <x v="1"/>
    <n v="1373"/>
    <n v="82"/>
    <n v="1291"/>
    <n v="371015"/>
    <n v="9.52"/>
    <n v="20306"/>
  </r>
  <r>
    <x v="15"/>
    <x v="2"/>
    <n v="685"/>
    <n v="285"/>
    <n v="400"/>
    <n v="177452"/>
    <n v="3.36"/>
    <n v="21134"/>
  </r>
  <r>
    <x v="16"/>
    <x v="0"/>
    <n v="1290"/>
    <n v="177"/>
    <n v="1113"/>
    <n v="80745"/>
    <n v="9.2200000000000006"/>
    <n v="26872"/>
  </r>
  <r>
    <x v="16"/>
    <x v="1"/>
    <n v="1437"/>
    <n v="239"/>
    <n v="1198"/>
    <n v="362441"/>
    <n v="5.57"/>
    <n v="10253"/>
  </r>
  <r>
    <x v="16"/>
    <x v="2"/>
    <n v="769"/>
    <n v="295"/>
    <n v="474"/>
    <n v="344771"/>
    <n v="8.06"/>
    <n v="23963"/>
  </r>
  <r>
    <x v="17"/>
    <x v="0"/>
    <n v="1416"/>
    <n v="284"/>
    <n v="1132"/>
    <n v="374952"/>
    <n v="3.45"/>
    <n v="11335"/>
  </r>
  <r>
    <x v="17"/>
    <x v="1"/>
    <n v="998"/>
    <n v="154"/>
    <n v="844"/>
    <n v="179781"/>
    <n v="9.58"/>
    <n v="12115"/>
  </r>
  <r>
    <x v="17"/>
    <x v="2"/>
    <n v="1421"/>
    <n v="246"/>
    <n v="1175"/>
    <n v="358581"/>
    <n v="8.8800000000000008"/>
    <n v="24358"/>
  </r>
  <r>
    <x v="18"/>
    <x v="0"/>
    <n v="764"/>
    <n v="205"/>
    <n v="559"/>
    <n v="319294"/>
    <n v="6.23"/>
    <n v="12181"/>
  </r>
  <r>
    <x v="18"/>
    <x v="1"/>
    <n v="678"/>
    <n v="124"/>
    <n v="554"/>
    <n v="192022"/>
    <n v="8.4499999999999993"/>
    <n v="17729"/>
  </r>
  <r>
    <x v="18"/>
    <x v="2"/>
    <n v="1328"/>
    <n v="103"/>
    <n v="1225"/>
    <n v="151462"/>
    <n v="8.4"/>
    <n v="10881"/>
  </r>
  <r>
    <x v="19"/>
    <x v="0"/>
    <n v="1161"/>
    <n v="269"/>
    <n v="892"/>
    <n v="188193"/>
    <n v="7.34"/>
    <n v="18576"/>
  </r>
  <r>
    <x v="19"/>
    <x v="1"/>
    <n v="588"/>
    <n v="52"/>
    <n v="536"/>
    <n v="292040"/>
    <n v="8.14"/>
    <n v="9383"/>
  </r>
  <r>
    <x v="19"/>
    <x v="2"/>
    <n v="1457"/>
    <n v="215"/>
    <n v="1242"/>
    <n v="325325"/>
    <n v="9.58"/>
    <n v="14178"/>
  </r>
  <r>
    <x v="20"/>
    <x v="0"/>
    <n v="1190"/>
    <n v="242"/>
    <n v="948"/>
    <n v="86849"/>
    <n v="8.06"/>
    <n v="21254"/>
  </r>
  <r>
    <x v="20"/>
    <x v="1"/>
    <n v="886"/>
    <n v="124"/>
    <n v="762"/>
    <n v="141161"/>
    <n v="8.19"/>
    <n v="14215"/>
  </r>
  <r>
    <x v="20"/>
    <x v="2"/>
    <n v="1237"/>
    <n v="155"/>
    <n v="1082"/>
    <n v="149916"/>
    <n v="4.4800000000000004"/>
    <n v="16921"/>
  </r>
  <r>
    <x v="21"/>
    <x v="0"/>
    <n v="1435"/>
    <n v="261"/>
    <n v="1174"/>
    <n v="308533"/>
    <n v="4.5199999999999996"/>
    <n v="25130"/>
  </r>
  <r>
    <x v="21"/>
    <x v="1"/>
    <n v="746"/>
    <n v="282"/>
    <n v="464"/>
    <n v="293894"/>
    <n v="5.42"/>
    <n v="25537"/>
  </r>
  <r>
    <x v="21"/>
    <x v="2"/>
    <n v="759"/>
    <n v="216"/>
    <n v="543"/>
    <n v="147656"/>
    <n v="4.08"/>
    <n v="24943"/>
  </r>
  <r>
    <x v="22"/>
    <x v="0"/>
    <n v="1437"/>
    <n v="235"/>
    <n v="1202"/>
    <n v="326791"/>
    <n v="4.0599999999999996"/>
    <n v="14563"/>
  </r>
  <r>
    <x v="22"/>
    <x v="1"/>
    <n v="1463"/>
    <n v="73"/>
    <n v="1390"/>
    <n v="348877"/>
    <n v="9.91"/>
    <n v="26273"/>
  </r>
  <r>
    <x v="22"/>
    <x v="2"/>
    <n v="1208"/>
    <n v="224"/>
    <n v="984"/>
    <n v="122730"/>
    <n v="8.7200000000000006"/>
    <n v="10858"/>
  </r>
  <r>
    <x v="23"/>
    <x v="0"/>
    <n v="1391"/>
    <n v="187"/>
    <n v="1204"/>
    <n v="306508"/>
    <n v="8.3800000000000008"/>
    <n v="25038"/>
  </r>
  <r>
    <x v="23"/>
    <x v="1"/>
    <n v="655"/>
    <n v="123"/>
    <n v="532"/>
    <n v="202472"/>
    <n v="7.56"/>
    <n v="9092"/>
  </r>
  <r>
    <x v="23"/>
    <x v="2"/>
    <n v="1148"/>
    <n v="90"/>
    <n v="1058"/>
    <n v="227249"/>
    <n v="7.24"/>
    <n v="17662"/>
  </r>
  <r>
    <x v="24"/>
    <x v="0"/>
    <n v="946"/>
    <n v="270"/>
    <n v="676"/>
    <n v="246567"/>
    <n v="4.53"/>
    <n v="5924"/>
  </r>
  <r>
    <x v="24"/>
    <x v="1"/>
    <n v="791"/>
    <n v="214"/>
    <n v="577"/>
    <n v="114738"/>
    <n v="6.62"/>
    <n v="25347"/>
  </r>
  <r>
    <x v="24"/>
    <x v="2"/>
    <n v="793"/>
    <n v="111"/>
    <n v="682"/>
    <n v="333500"/>
    <n v="6.36"/>
    <n v="8910"/>
  </r>
  <r>
    <x v="25"/>
    <x v="0"/>
    <n v="663"/>
    <n v="213"/>
    <n v="450"/>
    <n v="352677"/>
    <n v="9"/>
    <n v="20438"/>
  </r>
  <r>
    <x v="25"/>
    <x v="1"/>
    <n v="954"/>
    <n v="271"/>
    <n v="683"/>
    <n v="160936"/>
    <n v="8.83"/>
    <n v="8760"/>
  </r>
  <r>
    <x v="25"/>
    <x v="2"/>
    <n v="1313"/>
    <n v="159"/>
    <n v="1154"/>
    <n v="197183"/>
    <n v="9.7100000000000009"/>
    <n v="6625"/>
  </r>
  <r>
    <x v="26"/>
    <x v="0"/>
    <n v="895"/>
    <n v="87"/>
    <n v="808"/>
    <n v="171271"/>
    <n v="6.68"/>
    <n v="23329"/>
  </r>
  <r>
    <x v="26"/>
    <x v="1"/>
    <n v="1027"/>
    <n v="156"/>
    <n v="871"/>
    <n v="111293"/>
    <n v="5.51"/>
    <n v="7299"/>
  </r>
  <r>
    <x v="26"/>
    <x v="2"/>
    <n v="990"/>
    <n v="286"/>
    <n v="704"/>
    <n v="351493"/>
    <n v="7.97"/>
    <n v="14496"/>
  </r>
  <r>
    <x v="27"/>
    <x v="0"/>
    <n v="875"/>
    <n v="264"/>
    <n v="611"/>
    <n v="345631"/>
    <n v="9.18"/>
    <n v="25703"/>
  </r>
  <r>
    <x v="27"/>
    <x v="1"/>
    <n v="599"/>
    <n v="194"/>
    <n v="405"/>
    <n v="105622"/>
    <n v="6.44"/>
    <n v="15108"/>
  </r>
  <r>
    <x v="27"/>
    <x v="2"/>
    <n v="630"/>
    <n v="248"/>
    <n v="382"/>
    <n v="119054"/>
    <n v="5.0199999999999996"/>
    <n v="18867"/>
  </r>
  <r>
    <x v="28"/>
    <x v="0"/>
    <n v="1350"/>
    <n v="233"/>
    <n v="1117"/>
    <n v="171670"/>
    <n v="4.53"/>
    <n v="17574"/>
  </r>
  <r>
    <x v="28"/>
    <x v="1"/>
    <n v="632"/>
    <n v="155"/>
    <n v="477"/>
    <n v="170432"/>
    <n v="9.17"/>
    <n v="12840"/>
  </r>
  <r>
    <x v="28"/>
    <x v="2"/>
    <n v="1182"/>
    <n v="83"/>
    <n v="1099"/>
    <n v="140300"/>
    <n v="3.27"/>
    <n v="21079"/>
  </r>
  <r>
    <x v="29"/>
    <x v="0"/>
    <n v="661"/>
    <n v="94"/>
    <n v="567"/>
    <n v="116538"/>
    <n v="5.31"/>
    <n v="23486"/>
  </r>
  <r>
    <x v="29"/>
    <x v="1"/>
    <n v="1360"/>
    <n v="227"/>
    <n v="1133"/>
    <n v="176902"/>
    <n v="6.03"/>
    <n v="5960"/>
  </r>
  <r>
    <x v="29"/>
    <x v="2"/>
    <n v="935"/>
    <n v="85"/>
    <n v="850"/>
    <n v="326821"/>
    <n v="8.89"/>
    <n v="13301"/>
  </r>
  <r>
    <x v="30"/>
    <x v="0"/>
    <n v="664"/>
    <n v="251"/>
    <n v="413"/>
    <n v="240598"/>
    <n v="4.79"/>
    <n v="10563"/>
  </r>
  <r>
    <x v="30"/>
    <x v="1"/>
    <n v="1490"/>
    <n v="103"/>
    <n v="1387"/>
    <n v="373274"/>
    <n v="4.8"/>
    <n v="19949"/>
  </r>
  <r>
    <x v="30"/>
    <x v="2"/>
    <n v="601"/>
    <n v="64"/>
    <n v="537"/>
    <n v="123272"/>
    <n v="4.07"/>
    <n v="14273"/>
  </r>
  <r>
    <x v="31"/>
    <x v="0"/>
    <n v="613"/>
    <n v="170"/>
    <n v="443"/>
    <n v="139266"/>
    <n v="6.06"/>
    <n v="9247"/>
  </r>
  <r>
    <x v="31"/>
    <x v="1"/>
    <n v="1340"/>
    <n v="57"/>
    <n v="1283"/>
    <n v="155927"/>
    <n v="7.79"/>
    <n v="11972"/>
  </r>
  <r>
    <x v="31"/>
    <x v="2"/>
    <n v="953"/>
    <n v="228"/>
    <n v="725"/>
    <n v="258398"/>
    <n v="9.0500000000000007"/>
    <n v="13314"/>
  </r>
  <r>
    <x v="32"/>
    <x v="0"/>
    <n v="532"/>
    <n v="65"/>
    <n v="467"/>
    <n v="338561"/>
    <n v="3.5"/>
    <n v="14749"/>
  </r>
  <r>
    <x v="32"/>
    <x v="1"/>
    <n v="1414"/>
    <n v="60"/>
    <n v="1354"/>
    <n v="341856"/>
    <n v="8.76"/>
    <n v="6868"/>
  </r>
  <r>
    <x v="32"/>
    <x v="2"/>
    <n v="685"/>
    <n v="165"/>
    <n v="520"/>
    <n v="175860"/>
    <n v="6.26"/>
    <n v="6027"/>
  </r>
  <r>
    <x v="33"/>
    <x v="0"/>
    <n v="601"/>
    <n v="159"/>
    <n v="442"/>
    <n v="327722"/>
    <n v="3.33"/>
    <n v="25267"/>
  </r>
  <r>
    <x v="33"/>
    <x v="1"/>
    <n v="841"/>
    <n v="295"/>
    <n v="546"/>
    <n v="271638"/>
    <n v="9.15"/>
    <n v="5900"/>
  </r>
  <r>
    <x v="33"/>
    <x v="2"/>
    <n v="1105"/>
    <n v="261"/>
    <n v="844"/>
    <n v="333851"/>
    <n v="6.03"/>
    <n v="11181"/>
  </r>
  <r>
    <x v="34"/>
    <x v="0"/>
    <n v="566"/>
    <n v="225"/>
    <n v="341"/>
    <n v="368984"/>
    <n v="9.82"/>
    <n v="9592"/>
  </r>
  <r>
    <x v="34"/>
    <x v="1"/>
    <n v="1149"/>
    <n v="280"/>
    <n v="869"/>
    <n v="167310"/>
    <n v="3.7"/>
    <n v="5291"/>
  </r>
  <r>
    <x v="34"/>
    <x v="2"/>
    <n v="819"/>
    <n v="101"/>
    <n v="718"/>
    <n v="194811"/>
    <n v="3.35"/>
    <n v="22244"/>
  </r>
  <r>
    <x v="35"/>
    <x v="0"/>
    <n v="795"/>
    <n v="60"/>
    <n v="735"/>
    <n v="314982"/>
    <n v="7.31"/>
    <n v="6824"/>
  </r>
  <r>
    <x v="35"/>
    <x v="1"/>
    <n v="681"/>
    <n v="158"/>
    <n v="523"/>
    <n v="75960"/>
    <n v="3.13"/>
    <n v="24112"/>
  </r>
  <r>
    <x v="35"/>
    <x v="2"/>
    <n v="534"/>
    <n v="112"/>
    <n v="422"/>
    <n v="360759"/>
    <n v="4.8899999999999997"/>
    <n v="25478"/>
  </r>
  <r>
    <x v="36"/>
    <x v="0"/>
    <n v="1066"/>
    <n v="151"/>
    <n v="915"/>
    <n v="297090"/>
    <n v="8.6300000000000008"/>
    <n v="11235"/>
  </r>
  <r>
    <x v="36"/>
    <x v="1"/>
    <n v="1270"/>
    <n v="162"/>
    <n v="1108"/>
    <n v="92040"/>
    <n v="8.0299999999999994"/>
    <n v="6120"/>
  </r>
  <r>
    <x v="36"/>
    <x v="2"/>
    <n v="536"/>
    <n v="198"/>
    <n v="338"/>
    <n v="174610"/>
    <n v="7.85"/>
    <n v="20572"/>
  </r>
  <r>
    <x v="37"/>
    <x v="0"/>
    <n v="819"/>
    <n v="95"/>
    <n v="724"/>
    <n v="177376"/>
    <n v="6.12"/>
    <n v="14975"/>
  </r>
  <r>
    <x v="37"/>
    <x v="1"/>
    <n v="681"/>
    <n v="218"/>
    <n v="463"/>
    <n v="198882"/>
    <n v="7.16"/>
    <n v="22234"/>
  </r>
  <r>
    <x v="37"/>
    <x v="2"/>
    <n v="646"/>
    <n v="290"/>
    <n v="356"/>
    <n v="336383"/>
    <n v="7.04"/>
    <n v="6532"/>
  </r>
  <r>
    <x v="38"/>
    <x v="0"/>
    <n v="645"/>
    <n v="267"/>
    <n v="378"/>
    <n v="346890"/>
    <n v="3.71"/>
    <n v="24858"/>
  </r>
  <r>
    <x v="38"/>
    <x v="1"/>
    <n v="886"/>
    <n v="250"/>
    <n v="636"/>
    <n v="168170"/>
    <n v="4.12"/>
    <n v="13883"/>
  </r>
  <r>
    <x v="38"/>
    <x v="2"/>
    <n v="978"/>
    <n v="279"/>
    <n v="699"/>
    <n v="368872"/>
    <n v="6.82"/>
    <n v="18654"/>
  </r>
  <r>
    <x v="39"/>
    <x v="0"/>
    <n v="1444"/>
    <n v="165"/>
    <n v="1279"/>
    <n v="116436"/>
    <n v="8.2200000000000006"/>
    <n v="25234"/>
  </r>
  <r>
    <x v="39"/>
    <x v="1"/>
    <n v="1234"/>
    <n v="228"/>
    <n v="1006"/>
    <n v="127502"/>
    <n v="7.71"/>
    <n v="6772"/>
  </r>
  <r>
    <x v="39"/>
    <x v="2"/>
    <n v="665"/>
    <n v="187"/>
    <n v="478"/>
    <n v="274567"/>
    <n v="7.39"/>
    <n v="22428"/>
  </r>
  <r>
    <x v="40"/>
    <x v="0"/>
    <n v="631"/>
    <n v="86"/>
    <n v="545"/>
    <n v="295090"/>
    <n v="7.89"/>
    <n v="11911"/>
  </r>
  <r>
    <x v="40"/>
    <x v="1"/>
    <n v="1159"/>
    <n v="154"/>
    <n v="1005"/>
    <n v="194994"/>
    <n v="6.39"/>
    <n v="21900"/>
  </r>
  <r>
    <x v="40"/>
    <x v="2"/>
    <n v="950"/>
    <n v="185"/>
    <n v="765"/>
    <n v="340750"/>
    <n v="6.77"/>
    <n v="25542"/>
  </r>
  <r>
    <x v="41"/>
    <x v="0"/>
    <n v="693"/>
    <n v="129"/>
    <n v="564"/>
    <n v="296031"/>
    <n v="3.41"/>
    <n v="7140"/>
  </r>
  <r>
    <x v="41"/>
    <x v="1"/>
    <n v="576"/>
    <n v="80"/>
    <n v="496"/>
    <n v="345688"/>
    <n v="4.1100000000000003"/>
    <n v="20474"/>
  </r>
  <r>
    <x v="41"/>
    <x v="2"/>
    <n v="1274"/>
    <n v="146"/>
    <n v="1128"/>
    <n v="263488"/>
    <n v="9.58"/>
    <n v="8698"/>
  </r>
  <r>
    <x v="42"/>
    <x v="0"/>
    <n v="818"/>
    <n v="253"/>
    <n v="565"/>
    <n v="184911"/>
    <n v="3.39"/>
    <n v="10402"/>
  </r>
  <r>
    <x v="42"/>
    <x v="1"/>
    <n v="975"/>
    <n v="162"/>
    <n v="813"/>
    <n v="124497"/>
    <n v="9.58"/>
    <n v="26618"/>
  </r>
  <r>
    <x v="42"/>
    <x v="2"/>
    <n v="1398"/>
    <n v="97"/>
    <n v="1301"/>
    <n v="397607"/>
    <n v="5.09"/>
    <n v="7975"/>
  </r>
  <r>
    <x v="43"/>
    <x v="0"/>
    <n v="591"/>
    <n v="155"/>
    <n v="436"/>
    <n v="138521"/>
    <n v="7.85"/>
    <n v="19054"/>
  </r>
  <r>
    <x v="43"/>
    <x v="1"/>
    <n v="1232"/>
    <n v="254"/>
    <n v="978"/>
    <n v="107718"/>
    <n v="9.7100000000000009"/>
    <n v="13740"/>
  </r>
  <r>
    <x v="43"/>
    <x v="2"/>
    <n v="1425"/>
    <n v="58"/>
    <n v="1367"/>
    <n v="202234"/>
    <n v="6.67"/>
    <n v="18442"/>
  </r>
  <r>
    <x v="44"/>
    <x v="0"/>
    <n v="1417"/>
    <n v="80"/>
    <n v="1337"/>
    <n v="340987"/>
    <n v="6.13"/>
    <n v="10104"/>
  </r>
  <r>
    <x v="44"/>
    <x v="1"/>
    <n v="1222"/>
    <n v="208"/>
    <n v="1014"/>
    <n v="340098"/>
    <n v="7.34"/>
    <n v="21771"/>
  </r>
  <r>
    <x v="44"/>
    <x v="2"/>
    <n v="1071"/>
    <n v="131"/>
    <n v="940"/>
    <n v="254727"/>
    <n v="6.87"/>
    <n v="22191"/>
  </r>
  <r>
    <x v="45"/>
    <x v="0"/>
    <n v="772"/>
    <n v="82"/>
    <n v="690"/>
    <n v="345659"/>
    <n v="3.52"/>
    <n v="27753"/>
  </r>
  <r>
    <x v="45"/>
    <x v="1"/>
    <n v="1472"/>
    <n v="137"/>
    <n v="1335"/>
    <n v="213950"/>
    <n v="6.96"/>
    <n v="23736"/>
  </r>
  <r>
    <x v="45"/>
    <x v="2"/>
    <n v="1472"/>
    <n v="281"/>
    <n v="1191"/>
    <n v="258115"/>
    <n v="7.23"/>
    <n v="27393"/>
  </r>
  <r>
    <x v="46"/>
    <x v="0"/>
    <n v="585"/>
    <n v="232"/>
    <n v="353"/>
    <n v="321258"/>
    <n v="7.42"/>
    <n v="10343"/>
  </r>
  <r>
    <x v="46"/>
    <x v="1"/>
    <n v="747"/>
    <n v="261"/>
    <n v="486"/>
    <n v="338650"/>
    <n v="7.73"/>
    <n v="25259"/>
  </r>
  <r>
    <x v="46"/>
    <x v="2"/>
    <n v="1113"/>
    <n v="224"/>
    <n v="889"/>
    <n v="272989"/>
    <n v="5.13"/>
    <n v="24827"/>
  </r>
  <r>
    <x v="47"/>
    <x v="0"/>
    <n v="1100"/>
    <n v="117"/>
    <n v="983"/>
    <n v="260204"/>
    <n v="4.4000000000000004"/>
    <n v="11908"/>
  </r>
  <r>
    <x v="47"/>
    <x v="1"/>
    <n v="751"/>
    <n v="170"/>
    <n v="581"/>
    <n v="283278"/>
    <n v="3.49"/>
    <n v="11005"/>
  </r>
  <r>
    <x v="47"/>
    <x v="2"/>
    <n v="864"/>
    <n v="50"/>
    <n v="814"/>
    <n v="277445"/>
    <n v="3.57"/>
    <n v="26333"/>
  </r>
  <r>
    <x v="48"/>
    <x v="0"/>
    <n v="1146"/>
    <n v="227"/>
    <n v="919"/>
    <n v="353781"/>
    <n v="6.41"/>
    <n v="5495"/>
  </r>
  <r>
    <x v="48"/>
    <x v="1"/>
    <n v="883"/>
    <n v="207"/>
    <n v="676"/>
    <n v="265019"/>
    <n v="6.04"/>
    <n v="15655"/>
  </r>
  <r>
    <x v="48"/>
    <x v="2"/>
    <n v="622"/>
    <n v="163"/>
    <n v="459"/>
    <n v="231925"/>
    <n v="9.18"/>
    <n v="13763"/>
  </r>
  <r>
    <x v="49"/>
    <x v="0"/>
    <n v="837"/>
    <n v="261"/>
    <n v="576"/>
    <n v="366149"/>
    <n v="6.54"/>
    <n v="26073"/>
  </r>
  <r>
    <x v="49"/>
    <x v="1"/>
    <n v="544"/>
    <n v="97"/>
    <n v="447"/>
    <n v="168375"/>
    <n v="8.66"/>
    <n v="12774"/>
  </r>
  <r>
    <x v="49"/>
    <x v="2"/>
    <n v="624"/>
    <n v="247"/>
    <n v="377"/>
    <n v="252763"/>
    <n v="3.89"/>
    <n v="19000"/>
  </r>
  <r>
    <x v="50"/>
    <x v="0"/>
    <n v="1073"/>
    <n v="141"/>
    <n v="932"/>
    <n v="118393"/>
    <n v="7.95"/>
    <n v="14051"/>
  </r>
  <r>
    <x v="50"/>
    <x v="1"/>
    <n v="1430"/>
    <n v="74"/>
    <n v="1356"/>
    <n v="327012"/>
    <n v="6.66"/>
    <n v="27782"/>
  </r>
  <r>
    <x v="50"/>
    <x v="2"/>
    <n v="1358"/>
    <n v="77"/>
    <n v="1281"/>
    <n v="169688"/>
    <n v="5.25"/>
    <n v="7859"/>
  </r>
  <r>
    <x v="51"/>
    <x v="0"/>
    <n v="1242"/>
    <n v="201"/>
    <n v="1041"/>
    <n v="271935"/>
    <n v="5.07"/>
    <n v="15773"/>
  </r>
  <r>
    <x v="51"/>
    <x v="1"/>
    <n v="1389"/>
    <n v="205"/>
    <n v="1184"/>
    <n v="315981"/>
    <n v="7.62"/>
    <n v="20595"/>
  </r>
  <r>
    <x v="51"/>
    <x v="2"/>
    <n v="826"/>
    <n v="142"/>
    <n v="684"/>
    <n v="341016"/>
    <n v="7.44"/>
    <n v="12031"/>
  </r>
  <r>
    <x v="52"/>
    <x v="0"/>
    <n v="618"/>
    <n v="264"/>
    <n v="354"/>
    <n v="285164"/>
    <n v="4.8600000000000003"/>
    <n v="15128"/>
  </r>
  <r>
    <x v="52"/>
    <x v="1"/>
    <n v="1419"/>
    <n v="293"/>
    <n v="1126"/>
    <n v="116632"/>
    <n v="6.93"/>
    <n v="11826"/>
  </r>
  <r>
    <x v="52"/>
    <x v="2"/>
    <n v="637"/>
    <n v="68"/>
    <n v="569"/>
    <n v="115694"/>
    <n v="9.99"/>
    <n v="12562"/>
  </r>
  <r>
    <x v="53"/>
    <x v="0"/>
    <n v="917"/>
    <n v="187"/>
    <n v="730"/>
    <n v="64444"/>
    <n v="5.22"/>
    <n v="13013"/>
  </r>
  <r>
    <x v="53"/>
    <x v="1"/>
    <n v="810"/>
    <n v="232"/>
    <n v="578"/>
    <n v="362559"/>
    <n v="5.17"/>
    <n v="12937"/>
  </r>
  <r>
    <x v="53"/>
    <x v="2"/>
    <n v="1183"/>
    <n v="248"/>
    <n v="935"/>
    <n v="226881"/>
    <n v="5.17"/>
    <n v="14534"/>
  </r>
  <r>
    <x v="54"/>
    <x v="0"/>
    <n v="765"/>
    <n v="67"/>
    <n v="698"/>
    <n v="283537"/>
    <n v="6.18"/>
    <n v="8182"/>
  </r>
  <r>
    <x v="54"/>
    <x v="1"/>
    <n v="540"/>
    <n v="215"/>
    <n v="325"/>
    <n v="62837"/>
    <n v="5.3"/>
    <n v="10615"/>
  </r>
  <r>
    <x v="54"/>
    <x v="2"/>
    <n v="1145"/>
    <n v="151"/>
    <n v="994"/>
    <n v="182759"/>
    <n v="5.99"/>
    <n v="20109"/>
  </r>
  <r>
    <x v="55"/>
    <x v="0"/>
    <n v="564"/>
    <n v="244"/>
    <n v="320"/>
    <n v="279405"/>
    <n v="8.43"/>
    <n v="26024"/>
  </r>
  <r>
    <x v="55"/>
    <x v="1"/>
    <n v="668"/>
    <n v="124"/>
    <n v="544"/>
    <n v="257485"/>
    <n v="7.55"/>
    <n v="26730"/>
  </r>
  <r>
    <x v="55"/>
    <x v="2"/>
    <n v="761"/>
    <n v="241"/>
    <n v="520"/>
    <n v="154977"/>
    <n v="5.63"/>
    <n v="10563"/>
  </r>
  <r>
    <x v="56"/>
    <x v="0"/>
    <n v="593"/>
    <n v="108"/>
    <n v="485"/>
    <n v="216500"/>
    <n v="4.71"/>
    <n v="27575"/>
  </r>
  <r>
    <x v="56"/>
    <x v="1"/>
    <n v="1349"/>
    <n v="115"/>
    <n v="1234"/>
    <n v="102102"/>
    <n v="5.28"/>
    <n v="14479"/>
  </r>
  <r>
    <x v="56"/>
    <x v="2"/>
    <n v="693"/>
    <n v="97"/>
    <n v="596"/>
    <n v="92025"/>
    <n v="5.95"/>
    <n v="15915"/>
  </r>
  <r>
    <x v="57"/>
    <x v="0"/>
    <n v="974"/>
    <n v="143"/>
    <n v="831"/>
    <n v="247965"/>
    <n v="9.98"/>
    <n v="12767"/>
  </r>
  <r>
    <x v="57"/>
    <x v="1"/>
    <n v="1155"/>
    <n v="122"/>
    <n v="1033"/>
    <n v="387352"/>
    <n v="9.93"/>
    <n v="12170"/>
  </r>
  <r>
    <x v="57"/>
    <x v="2"/>
    <n v="1051"/>
    <n v="246"/>
    <n v="805"/>
    <n v="253985"/>
    <n v="9.08"/>
    <n v="7245"/>
  </r>
  <r>
    <x v="58"/>
    <x v="0"/>
    <n v="1457"/>
    <n v="183"/>
    <n v="1274"/>
    <n v="129640"/>
    <n v="7.98"/>
    <n v="12985"/>
  </r>
  <r>
    <x v="58"/>
    <x v="1"/>
    <n v="670"/>
    <n v="242"/>
    <n v="428"/>
    <n v="281913"/>
    <n v="9.6199999999999992"/>
    <n v="16377"/>
  </r>
  <r>
    <x v="58"/>
    <x v="2"/>
    <n v="1111"/>
    <n v="159"/>
    <n v="952"/>
    <n v="360770"/>
    <n v="8.7100000000000009"/>
    <n v="11453"/>
  </r>
  <r>
    <x v="59"/>
    <x v="0"/>
    <n v="1197"/>
    <n v="246"/>
    <n v="951"/>
    <n v="127273"/>
    <n v="6.69"/>
    <n v="12323"/>
  </r>
  <r>
    <x v="59"/>
    <x v="1"/>
    <n v="754"/>
    <n v="150"/>
    <n v="604"/>
    <n v="189622"/>
    <n v="4.25"/>
    <n v="11911"/>
  </r>
  <r>
    <x v="59"/>
    <x v="2"/>
    <n v="1246"/>
    <n v="107"/>
    <n v="1139"/>
    <n v="350949"/>
    <n v="4.9800000000000004"/>
    <n v="27809"/>
  </r>
  <r>
    <x v="60"/>
    <x v="0"/>
    <n v="780"/>
    <n v="213"/>
    <n v="567"/>
    <n v="121431"/>
    <n v="4.97"/>
    <n v="21464"/>
  </r>
  <r>
    <x v="60"/>
    <x v="1"/>
    <n v="1425"/>
    <n v="143"/>
    <n v="1282"/>
    <n v="116742"/>
    <n v="3.71"/>
    <n v="27126"/>
  </r>
  <r>
    <x v="60"/>
    <x v="2"/>
    <n v="1490"/>
    <n v="103"/>
    <n v="1387"/>
    <n v="81184"/>
    <n v="7.79"/>
    <n v="10681"/>
  </r>
  <r>
    <x v="61"/>
    <x v="0"/>
    <n v="949"/>
    <n v="282"/>
    <n v="667"/>
    <n v="87126"/>
    <n v="4.96"/>
    <n v="5413"/>
  </r>
  <r>
    <x v="61"/>
    <x v="1"/>
    <n v="640"/>
    <n v="141"/>
    <n v="499"/>
    <n v="267546"/>
    <n v="8.58"/>
    <n v="25058"/>
  </r>
  <r>
    <x v="61"/>
    <x v="2"/>
    <n v="616"/>
    <n v="93"/>
    <n v="523"/>
    <n v="133082"/>
    <n v="8.51"/>
    <n v="18303"/>
  </r>
  <r>
    <x v="62"/>
    <x v="0"/>
    <n v="1080"/>
    <n v="184"/>
    <n v="896"/>
    <n v="340557"/>
    <n v="5.41"/>
    <n v="5526"/>
  </r>
  <r>
    <x v="62"/>
    <x v="1"/>
    <n v="938"/>
    <n v="236"/>
    <n v="702"/>
    <n v="116472"/>
    <n v="8.7200000000000006"/>
    <n v="17460"/>
  </r>
  <r>
    <x v="62"/>
    <x v="2"/>
    <n v="1007"/>
    <n v="258"/>
    <n v="749"/>
    <n v="113412"/>
    <n v="7.71"/>
    <n v="14475"/>
  </r>
  <r>
    <x v="63"/>
    <x v="0"/>
    <n v="541"/>
    <n v="208"/>
    <n v="333"/>
    <n v="157547"/>
    <n v="8.35"/>
    <n v="20162"/>
  </r>
  <r>
    <x v="63"/>
    <x v="1"/>
    <n v="745"/>
    <n v="98"/>
    <n v="647"/>
    <n v="354816"/>
    <n v="4.03"/>
    <n v="17103"/>
  </r>
  <r>
    <x v="63"/>
    <x v="2"/>
    <n v="936"/>
    <n v="97"/>
    <n v="839"/>
    <n v="151799"/>
    <n v="9.3699999999999992"/>
    <n v="15461"/>
  </r>
  <r>
    <x v="64"/>
    <x v="0"/>
    <n v="1183"/>
    <n v="223"/>
    <n v="960"/>
    <n v="143811"/>
    <n v="6.07"/>
    <n v="22103"/>
  </r>
  <r>
    <x v="64"/>
    <x v="1"/>
    <n v="1413"/>
    <n v="245"/>
    <n v="1168"/>
    <n v="296450"/>
    <n v="6.52"/>
    <n v="11625"/>
  </r>
  <r>
    <x v="64"/>
    <x v="2"/>
    <n v="791"/>
    <n v="273"/>
    <n v="518"/>
    <n v="144049"/>
    <n v="3.08"/>
    <n v="5281"/>
  </r>
  <r>
    <x v="65"/>
    <x v="0"/>
    <n v="1052"/>
    <n v="180"/>
    <n v="872"/>
    <n v="272534"/>
    <n v="5.34"/>
    <n v="13424"/>
  </r>
  <r>
    <x v="65"/>
    <x v="1"/>
    <n v="572"/>
    <n v="270"/>
    <n v="302"/>
    <n v="82265"/>
    <n v="3.65"/>
    <n v="13140"/>
  </r>
  <r>
    <x v="65"/>
    <x v="2"/>
    <n v="503"/>
    <n v="253"/>
    <n v="250"/>
    <n v="313562"/>
    <n v="4.18"/>
    <n v="19538"/>
  </r>
  <r>
    <x v="66"/>
    <x v="0"/>
    <n v="1017"/>
    <n v="197"/>
    <n v="820"/>
    <n v="89918"/>
    <n v="3.91"/>
    <n v="7881"/>
  </r>
  <r>
    <x v="66"/>
    <x v="1"/>
    <n v="860"/>
    <n v="244"/>
    <n v="616"/>
    <n v="348686"/>
    <n v="5.12"/>
    <n v="114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CC8C45D-D6CF-403D-9A52-B93406B40EBF}"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6" firstHeaderRow="1" firstDataRow="1" firstDataCol="1"/>
  <pivotFields count="11">
    <pivotField numFmtId="164"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axis="axisRow" showAll="0">
      <items count="4">
        <item x="0"/>
        <item x="1"/>
        <item x="2"/>
        <item t="default"/>
      </items>
    </pivotField>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3">
    <i>
      <x/>
    </i>
    <i>
      <x v="1"/>
    </i>
    <i>
      <x v="2"/>
    </i>
  </rowItems>
  <colItems count="1">
    <i/>
  </colItems>
  <dataFields count="1">
    <dataField name="Average of Engagement_Rate" fld="6" subtotal="average" baseField="1" baseItem="0"/>
  </dataFields>
  <chartFormats count="2">
    <chartFormat chart="0" format="0"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4D9F99-2014-4ABC-8B7C-F92DE73165F1}"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C6" firstHeaderRow="0" firstDataRow="1" firstDataCol="1"/>
  <pivotFields count="11">
    <pivotField numFmtId="164"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axis="axisRow" showAll="0">
      <items count="4">
        <item x="0"/>
        <item x="1"/>
        <item x="2"/>
        <item t="default"/>
      </items>
    </pivotField>
    <pivotField showAll="0"/>
    <pivotField showAll="0"/>
    <pivotField showAll="0"/>
    <pivotField showAll="0"/>
    <pivotField dataField="1"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3">
    <i>
      <x/>
    </i>
    <i>
      <x v="1"/>
    </i>
    <i>
      <x v="2"/>
    </i>
  </rowItems>
  <colFields count="1">
    <field x="-2"/>
  </colFields>
  <colItems count="2">
    <i>
      <x/>
    </i>
    <i i="1">
      <x v="1"/>
    </i>
  </colItems>
  <dataFields count="2">
    <dataField name="Sum of Engagement_Rate" fld="6" baseField="0" baseItem="0"/>
    <dataField name="Sum of Ad_Spend" fld="7" baseField="0" baseItem="0"/>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FC1966-DBEB-41BF-A10D-7BE29F578382}"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3:D28" firstHeaderRow="1" firstDataRow="2" firstDataCol="1"/>
  <pivotFields count="11">
    <pivotField axis="axisRow" numFmtId="164" showAll="0">
      <items count="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t="default"/>
      </items>
    </pivotField>
    <pivotField axis="axisCol" showAll="0">
      <items count="4">
        <item x="0"/>
        <item x="1"/>
        <item x="2"/>
        <item t="default"/>
      </items>
    </pivotField>
    <pivotField showAll="0"/>
    <pivotField showAll="0"/>
    <pivotField dataField="1"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x="0"/>
        <item x="1"/>
        <item x="2"/>
        <item x="3"/>
        <item x="4"/>
        <item x="5"/>
        <item t="default"/>
      </items>
    </pivotField>
    <pivotField axis="axisRow" showAll="0">
      <items count="5">
        <item x="0"/>
        <item x="1"/>
        <item x="2"/>
        <item x="3"/>
        <item t="default"/>
      </items>
    </pivotField>
  </pivotFields>
  <rowFields count="4">
    <field x="10"/>
    <field x="9"/>
    <field x="8"/>
    <field x="0"/>
  </rowFields>
  <rowItems count="24">
    <i>
      <x v="1"/>
    </i>
    <i r="1">
      <x v="2"/>
    </i>
    <i r="2">
      <x v="6"/>
    </i>
    <i r="1">
      <x v="3"/>
    </i>
    <i r="2">
      <x v="7"/>
    </i>
    <i r="2">
      <x v="8"/>
    </i>
    <i r="2">
      <x v="9"/>
    </i>
    <i r="1">
      <x v="4"/>
    </i>
    <i r="2">
      <x v="10"/>
    </i>
    <i r="2">
      <x v="11"/>
    </i>
    <i r="2">
      <x v="12"/>
    </i>
    <i>
      <x v="2"/>
    </i>
    <i r="1">
      <x v="1"/>
    </i>
    <i r="2">
      <x v="1"/>
    </i>
    <i r="2">
      <x v="2"/>
    </i>
    <i r="2">
      <x v="3"/>
    </i>
    <i r="1">
      <x v="2"/>
    </i>
    <i r="2">
      <x v="4"/>
    </i>
    <i r="2">
      <x v="5"/>
    </i>
    <i r="2">
      <x v="6"/>
    </i>
    <i r="1">
      <x v="3"/>
    </i>
    <i r="2">
      <x v="7"/>
    </i>
    <i r="2">
      <x v="8"/>
    </i>
    <i r="2">
      <x v="9"/>
    </i>
  </rowItems>
  <colFields count="1">
    <field x="1"/>
  </colFields>
  <colItems count="3">
    <i>
      <x/>
    </i>
    <i>
      <x v="1"/>
    </i>
    <i>
      <x v="2"/>
    </i>
  </colItems>
  <dataFields count="1">
    <dataField name="Sum of Follower Growth" fld="4" baseField="0" baseItem="0"/>
  </dataFields>
  <chartFormats count="12">
    <chartFormat chart="5" format="0" series="1">
      <pivotArea type="data" outline="0" fieldPosition="0">
        <references count="2">
          <reference field="4294967294" count="1" selected="0">
            <x v="0"/>
          </reference>
          <reference field="1" count="1" selected="0">
            <x v="0"/>
          </reference>
        </references>
      </pivotArea>
    </chartFormat>
    <chartFormat chart="5" format="1" series="1">
      <pivotArea type="data" outline="0" fieldPosition="0">
        <references count="2">
          <reference field="4294967294" count="1" selected="0">
            <x v="0"/>
          </reference>
          <reference field="1" count="1" selected="0">
            <x v="1"/>
          </reference>
        </references>
      </pivotArea>
    </chartFormat>
    <chartFormat chart="5" format="2" series="1">
      <pivotArea type="data" outline="0" fieldPosition="0">
        <references count="2">
          <reference field="4294967294" count="1" selected="0">
            <x v="0"/>
          </reference>
          <reference field="1" count="1" selected="0">
            <x v="2"/>
          </reference>
        </references>
      </pivotArea>
    </chartFormat>
    <chartFormat chart="9" format="6" series="1">
      <pivotArea type="data" outline="0" fieldPosition="0">
        <references count="2">
          <reference field="4294967294" count="1" selected="0">
            <x v="0"/>
          </reference>
          <reference field="1" count="1" selected="0">
            <x v="0"/>
          </reference>
        </references>
      </pivotArea>
    </chartFormat>
    <chartFormat chart="9" format="7" series="1">
      <pivotArea type="data" outline="0" fieldPosition="0">
        <references count="2">
          <reference field="4294967294" count="1" selected="0">
            <x v="0"/>
          </reference>
          <reference field="1" count="1" selected="0">
            <x v="1"/>
          </reference>
        </references>
      </pivotArea>
    </chartFormat>
    <chartFormat chart="9" format="8" series="1">
      <pivotArea type="data" outline="0" fieldPosition="0">
        <references count="2">
          <reference field="4294967294" count="1" selected="0">
            <x v="0"/>
          </reference>
          <reference field="1" count="1" selected="0">
            <x v="2"/>
          </reference>
        </references>
      </pivotArea>
    </chartFormat>
    <chartFormat chart="10" format="9" series="1">
      <pivotArea type="data" outline="0" fieldPosition="0">
        <references count="2">
          <reference field="4294967294" count="1" selected="0">
            <x v="0"/>
          </reference>
          <reference field="1" count="1" selected="0">
            <x v="0"/>
          </reference>
        </references>
      </pivotArea>
    </chartFormat>
    <chartFormat chart="10" format="10" series="1">
      <pivotArea type="data" outline="0" fieldPosition="0">
        <references count="2">
          <reference field="4294967294" count="1" selected="0">
            <x v="0"/>
          </reference>
          <reference field="1" count="1" selected="0">
            <x v="1"/>
          </reference>
        </references>
      </pivotArea>
    </chartFormat>
    <chartFormat chart="10" format="11" series="1">
      <pivotArea type="data" outline="0" fieldPosition="0">
        <references count="2">
          <reference field="4294967294" count="1" selected="0">
            <x v="0"/>
          </reference>
          <reference field="1" count="1" selected="0">
            <x v="2"/>
          </reference>
        </references>
      </pivotArea>
    </chartFormat>
    <chartFormat chart="11" format="12" series="1">
      <pivotArea type="data" outline="0" fieldPosition="0">
        <references count="2">
          <reference field="4294967294" count="1" selected="0">
            <x v="0"/>
          </reference>
          <reference field="1" count="1" selected="0">
            <x v="0"/>
          </reference>
        </references>
      </pivotArea>
    </chartFormat>
    <chartFormat chart="11" format="13" series="1">
      <pivotArea type="data" outline="0" fieldPosition="0">
        <references count="2">
          <reference field="4294967294" count="1" selected="0">
            <x v="0"/>
          </reference>
          <reference field="1" count="1" selected="0">
            <x v="1"/>
          </reference>
        </references>
      </pivotArea>
    </chartFormat>
    <chartFormat chart="11" format="14" series="1">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B50F7B21-3797-4A74-9375-A85C55328584}" sourceName="Platform">
  <pivotTables>
    <pivotTable tabId="10" name="PivotTable2"/>
    <pivotTable tabId="4" name="PivotTable1"/>
    <pivotTable tabId="8" name="PivotTable4"/>
  </pivotTables>
  <data>
    <tabular pivotCacheId="140413747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Week_Start_Date" xr10:uid="{CFD111ED-4643-4AF5-B57D-69BC1E651E31}" sourceName="Months (Week_Start_Date)">
  <pivotTables>
    <pivotTable tabId="10" name="PivotTable2"/>
    <pivotTable tabId="4" name="PivotTable1"/>
    <pivotTable tabId="8" name="PivotTable4"/>
  </pivotTables>
  <data>
    <tabular pivotCacheId="1404137474">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Week_Start_Date" xr10:uid="{AFF93705-87FC-4F70-9D35-925F5799A966}" sourceName="Quarters (Week_Start_Date)">
  <pivotTables>
    <pivotTable tabId="10" name="PivotTable2"/>
    <pivotTable tabId="4" name="PivotTable1"/>
    <pivotTable tabId="8" name="PivotTable4"/>
  </pivotTables>
  <data>
    <tabular pivotCacheId="1404137474">
      <items count="6">
        <i x="1" s="1"/>
        <i x="2" s="1"/>
        <i x="3" s="1"/>
        <i x="4" s="1"/>
        <i x="0"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Week_Start_Date" xr10:uid="{A8D7DD14-7050-4546-9A28-ECEE444F25A1}" sourceName="Years (Week_Start_Date)">
  <pivotTables>
    <pivotTable tabId="10" name="PivotTable2"/>
    <pivotTable tabId="4" name="PivotTable1"/>
    <pivotTable tabId="8" name="PivotTable4"/>
  </pivotTables>
  <data>
    <tabular pivotCacheId="1404137474">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32D86C7A-90AA-403D-A6E0-ABEA9A6E713B}" cache="Slicer_Platform" caption="Platform" rowHeight="234950"/>
  <slicer name="Months (Week_Start_Date)" xr10:uid="{B92F7C8A-CD39-493E-A72A-692361BE5CFA}" cache="Slicer_Months__Week_Start_Date" caption="Months (Week_Start_Date)" rowHeight="234950"/>
  <slicer name="Quarters (Week_Start_Date)" xr10:uid="{F9F9E3CE-C4E5-45B5-B998-15BE15D9C9F7}" cache="Slicer_Quarters__Week_Start_Date" caption="Quarters (Week_Start_Date)" rowHeight="234950"/>
  <slicer name="Years (Week_Start_Date)" xr10:uid="{79864F2B-1624-4AA4-8888-A72A701FB0AF}" cache="Slicer_Years__Week_Start_Date" caption="Years (Week_Start_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449DF6-1A24-4EF1-B010-1FF407F93D4D}" name="Table4" displayName="Table4" ref="A3:H203" totalsRowShown="0" headerRowDxfId="12" dataDxfId="10" headerRowBorderDxfId="11" tableBorderDxfId="9" totalsRowBorderDxfId="8">
  <autoFilter ref="A3:H203" xr:uid="{EE449DF6-1A24-4EF1-B010-1FF407F93D4D}"/>
  <tableColumns count="8">
    <tableColumn id="1" xr3:uid="{F82BD4BD-A8A3-4221-8413-4266E72C2AD4}" name="Week_Start_Date" dataDxfId="7"/>
    <tableColumn id="2" xr3:uid="{C6C18910-CF31-42FA-BA51-0EA8DAAEA7FA}" name="Platform" dataDxfId="6"/>
    <tableColumn id="3" xr3:uid="{5DA196AD-8CED-4BF0-9747-7E27304C4C28}" name="New_Followers" dataDxfId="5"/>
    <tableColumn id="4" xr3:uid="{26BA983B-6498-4956-9B17-A362B912BAA2}" name="Unfollows" dataDxfId="4"/>
    <tableColumn id="5" xr3:uid="{1C920A8B-A2D1-44AF-B4DC-359162E414B4}" name="Follower Growth" dataDxfId="3">
      <calculatedColumnFormula>C4-D4</calculatedColumnFormula>
    </tableColumn>
    <tableColumn id="6" xr3:uid="{48DE684D-D34C-4637-BC35-30009B8DD361}" name="Total_Followers" dataDxfId="2"/>
    <tableColumn id="7" xr3:uid="{92FAC75E-4274-4EC2-BA23-6C412E89AD27}" name="Engagement_Rate" dataDxfId="1"/>
    <tableColumn id="8" xr3:uid="{F1847E95-FA27-483D-86A1-C05D1229D9C2}" name="Ad_Spend" dataDxfId="0"/>
  </tableColumns>
  <tableStyleInfo name="TableStyleLight2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2"/>
  <sheetViews>
    <sheetView zoomScale="92" zoomScaleNormal="92" workbookViewId="0">
      <selection activeCell="E5" sqref="E5"/>
    </sheetView>
  </sheetViews>
  <sheetFormatPr defaultColWidth="14.44140625" defaultRowHeight="15" customHeight="1"/>
  <cols>
    <col min="1" max="1" width="20.109375" style="1" bestFit="1" customWidth="1"/>
    <col min="2" max="2" width="11.44140625" bestFit="1" customWidth="1"/>
    <col min="3" max="3" width="18.33203125" bestFit="1" customWidth="1"/>
    <col min="4" max="4" width="12.88671875" bestFit="1" customWidth="1"/>
    <col min="5" max="5" width="18.6640625" style="22" customWidth="1"/>
    <col min="6" max="6" width="18.77734375" bestFit="1" customWidth="1"/>
    <col min="7" max="7" width="21.33203125" bestFit="1" customWidth="1"/>
    <col min="8" max="8" width="13.21875" bestFit="1" customWidth="1"/>
    <col min="9" max="27" width="8.6640625" customWidth="1"/>
  </cols>
  <sheetData>
    <row r="1" spans="1:8" ht="15" customHeight="1">
      <c r="A1" s="23" t="s">
        <v>36</v>
      </c>
      <c r="B1" s="23"/>
      <c r="C1" s="23"/>
      <c r="D1" s="23"/>
      <c r="E1" s="23"/>
      <c r="F1" s="23"/>
      <c r="G1" s="23"/>
      <c r="H1" s="23"/>
    </row>
    <row r="2" spans="1:8" ht="15" customHeight="1">
      <c r="A2" s="23"/>
      <c r="B2" s="23"/>
      <c r="C2" s="23"/>
      <c r="D2" s="23"/>
      <c r="E2" s="23"/>
      <c r="F2" s="23"/>
      <c r="G2" s="23"/>
      <c r="H2" s="23"/>
    </row>
    <row r="3" spans="1:8" ht="14.4">
      <c r="A3" s="11" t="s">
        <v>4</v>
      </c>
      <c r="B3" s="12" t="s">
        <v>0</v>
      </c>
      <c r="C3" s="12" t="s">
        <v>5</v>
      </c>
      <c r="D3" s="12" t="s">
        <v>6</v>
      </c>
      <c r="E3" s="18" t="s">
        <v>13</v>
      </c>
      <c r="F3" s="12" t="s">
        <v>7</v>
      </c>
      <c r="G3" s="12" t="s">
        <v>8</v>
      </c>
      <c r="H3" s="13" t="s">
        <v>9</v>
      </c>
    </row>
    <row r="4" spans="1:8" ht="14.4">
      <c r="A4" s="9">
        <v>45446</v>
      </c>
      <c r="B4" s="7" t="s">
        <v>1</v>
      </c>
      <c r="C4" s="8">
        <v>1402</v>
      </c>
      <c r="D4" s="8">
        <v>68</v>
      </c>
      <c r="E4" s="19">
        <f>C4-D4</f>
        <v>1334</v>
      </c>
      <c r="F4" s="8">
        <v>124562</v>
      </c>
      <c r="G4" s="8">
        <v>9.92</v>
      </c>
      <c r="H4" s="10">
        <v>23125</v>
      </c>
    </row>
    <row r="5" spans="1:8" ht="14.4">
      <c r="A5" s="9">
        <v>45446</v>
      </c>
      <c r="B5" s="7" t="s">
        <v>2</v>
      </c>
      <c r="C5" s="8">
        <v>995</v>
      </c>
      <c r="D5" s="8">
        <v>86</v>
      </c>
      <c r="E5" s="19">
        <f t="shared" ref="E5:E35" si="0">C5-D5</f>
        <v>909</v>
      </c>
      <c r="F5" s="8">
        <v>227958</v>
      </c>
      <c r="G5" s="8">
        <v>8.0500000000000007</v>
      </c>
      <c r="H5" s="10">
        <v>22788</v>
      </c>
    </row>
    <row r="6" spans="1:8" ht="14.4">
      <c r="A6" s="9">
        <v>45446</v>
      </c>
      <c r="B6" s="7" t="s">
        <v>3</v>
      </c>
      <c r="C6" s="8">
        <v>1472</v>
      </c>
      <c r="D6" s="8">
        <v>296</v>
      </c>
      <c r="E6" s="19">
        <f t="shared" si="0"/>
        <v>1176</v>
      </c>
      <c r="F6" s="8">
        <v>370242</v>
      </c>
      <c r="G6" s="8">
        <v>7.72</v>
      </c>
      <c r="H6" s="10">
        <v>7810</v>
      </c>
    </row>
    <row r="7" spans="1:8" ht="14.4">
      <c r="A7" s="9">
        <v>45453</v>
      </c>
      <c r="B7" s="7" t="s">
        <v>1</v>
      </c>
      <c r="C7" s="8">
        <v>1018</v>
      </c>
      <c r="D7" s="8">
        <v>90</v>
      </c>
      <c r="E7" s="19">
        <f t="shared" si="0"/>
        <v>928</v>
      </c>
      <c r="F7" s="8">
        <v>92474</v>
      </c>
      <c r="G7" s="8">
        <v>9.4</v>
      </c>
      <c r="H7" s="10">
        <v>11966</v>
      </c>
    </row>
    <row r="8" spans="1:8" ht="14.4">
      <c r="A8" s="9">
        <v>45453</v>
      </c>
      <c r="B8" s="7" t="s">
        <v>2</v>
      </c>
      <c r="C8" s="8">
        <v>1461</v>
      </c>
      <c r="D8" s="8">
        <v>64</v>
      </c>
      <c r="E8" s="19">
        <f t="shared" si="0"/>
        <v>1397</v>
      </c>
      <c r="F8" s="8">
        <v>328902</v>
      </c>
      <c r="G8" s="8">
        <v>9.02</v>
      </c>
      <c r="H8" s="10">
        <v>26298</v>
      </c>
    </row>
    <row r="9" spans="1:8" ht="14.4">
      <c r="A9" s="9">
        <v>45453</v>
      </c>
      <c r="B9" s="7" t="s">
        <v>3</v>
      </c>
      <c r="C9" s="8">
        <v>545</v>
      </c>
      <c r="D9" s="8">
        <v>93</v>
      </c>
      <c r="E9" s="19">
        <f t="shared" si="0"/>
        <v>452</v>
      </c>
      <c r="F9" s="8">
        <v>391621</v>
      </c>
      <c r="G9" s="8">
        <v>9.9600000000000009</v>
      </c>
      <c r="H9" s="10">
        <v>22029</v>
      </c>
    </row>
    <row r="10" spans="1:8" ht="14.4">
      <c r="A10" s="9">
        <v>45460</v>
      </c>
      <c r="B10" s="7" t="s">
        <v>1</v>
      </c>
      <c r="C10" s="8">
        <v>881</v>
      </c>
      <c r="D10" s="8">
        <v>291</v>
      </c>
      <c r="E10" s="19">
        <f t="shared" si="0"/>
        <v>590</v>
      </c>
      <c r="F10" s="8">
        <v>95885</v>
      </c>
      <c r="G10" s="8">
        <v>5.29</v>
      </c>
      <c r="H10" s="10">
        <v>12391</v>
      </c>
    </row>
    <row r="11" spans="1:8" ht="14.4">
      <c r="A11" s="9">
        <v>45460</v>
      </c>
      <c r="B11" s="7" t="s">
        <v>2</v>
      </c>
      <c r="C11" s="8">
        <v>1414</v>
      </c>
      <c r="D11" s="8">
        <v>131</v>
      </c>
      <c r="E11" s="19">
        <f t="shared" si="0"/>
        <v>1283</v>
      </c>
      <c r="F11" s="8">
        <v>245947</v>
      </c>
      <c r="G11" s="8">
        <v>8.3000000000000007</v>
      </c>
      <c r="H11" s="10">
        <v>14477</v>
      </c>
    </row>
    <row r="12" spans="1:8" ht="14.4">
      <c r="A12" s="9">
        <v>45460</v>
      </c>
      <c r="B12" s="7" t="s">
        <v>3</v>
      </c>
      <c r="C12" s="8">
        <v>1472</v>
      </c>
      <c r="D12" s="8">
        <v>170</v>
      </c>
      <c r="E12" s="19">
        <f t="shared" si="0"/>
        <v>1302</v>
      </c>
      <c r="F12" s="8">
        <v>250428</v>
      </c>
      <c r="G12" s="8">
        <v>4.66</v>
      </c>
      <c r="H12" s="10">
        <v>25040</v>
      </c>
    </row>
    <row r="13" spans="1:8" ht="14.4">
      <c r="A13" s="9">
        <v>45467</v>
      </c>
      <c r="B13" s="7" t="s">
        <v>1</v>
      </c>
      <c r="C13" s="8">
        <v>809</v>
      </c>
      <c r="D13" s="8">
        <v>197</v>
      </c>
      <c r="E13" s="19">
        <f t="shared" si="0"/>
        <v>612</v>
      </c>
      <c r="F13" s="8">
        <v>87186</v>
      </c>
      <c r="G13" s="8">
        <v>9.48</v>
      </c>
      <c r="H13" s="10">
        <v>22619</v>
      </c>
    </row>
    <row r="14" spans="1:8" ht="14.4">
      <c r="A14" s="9">
        <v>45467</v>
      </c>
      <c r="B14" s="7" t="s">
        <v>2</v>
      </c>
      <c r="C14" s="8">
        <v>1371</v>
      </c>
      <c r="D14" s="8">
        <v>250</v>
      </c>
      <c r="E14" s="19">
        <f t="shared" si="0"/>
        <v>1121</v>
      </c>
      <c r="F14" s="8">
        <v>128620</v>
      </c>
      <c r="G14" s="8">
        <v>7.11</v>
      </c>
      <c r="H14" s="10">
        <v>12399</v>
      </c>
    </row>
    <row r="15" spans="1:8" ht="14.4">
      <c r="A15" s="9">
        <v>45467</v>
      </c>
      <c r="B15" s="7" t="s">
        <v>3</v>
      </c>
      <c r="C15" s="8">
        <v>844</v>
      </c>
      <c r="D15" s="8">
        <v>144</v>
      </c>
      <c r="E15" s="19">
        <f t="shared" si="0"/>
        <v>700</v>
      </c>
      <c r="F15" s="8">
        <v>126015</v>
      </c>
      <c r="G15" s="8">
        <v>9.65</v>
      </c>
      <c r="H15" s="10">
        <v>22456</v>
      </c>
    </row>
    <row r="16" spans="1:8" ht="14.4">
      <c r="A16" s="9">
        <v>45474</v>
      </c>
      <c r="B16" s="7" t="s">
        <v>1</v>
      </c>
      <c r="C16" s="8">
        <v>786</v>
      </c>
      <c r="D16" s="8">
        <v>72</v>
      </c>
      <c r="E16" s="19">
        <f t="shared" si="0"/>
        <v>714</v>
      </c>
      <c r="F16" s="8">
        <v>178615</v>
      </c>
      <c r="G16" s="8">
        <v>5.43</v>
      </c>
      <c r="H16" s="10">
        <v>19328</v>
      </c>
    </row>
    <row r="17" spans="1:8" ht="14.4">
      <c r="A17" s="9">
        <v>45474</v>
      </c>
      <c r="B17" s="7" t="s">
        <v>2</v>
      </c>
      <c r="C17" s="8">
        <v>845</v>
      </c>
      <c r="D17" s="8">
        <v>250</v>
      </c>
      <c r="E17" s="19">
        <f t="shared" si="0"/>
        <v>595</v>
      </c>
      <c r="F17" s="8">
        <v>218228</v>
      </c>
      <c r="G17" s="8">
        <v>4.5199999999999996</v>
      </c>
      <c r="H17" s="10">
        <v>21107</v>
      </c>
    </row>
    <row r="18" spans="1:8" ht="14.4">
      <c r="A18" s="9">
        <v>45474</v>
      </c>
      <c r="B18" s="7" t="s">
        <v>3</v>
      </c>
      <c r="C18" s="8">
        <v>1218</v>
      </c>
      <c r="D18" s="8">
        <v>101</v>
      </c>
      <c r="E18" s="19">
        <f t="shared" si="0"/>
        <v>1117</v>
      </c>
      <c r="F18" s="8">
        <v>300397</v>
      </c>
      <c r="G18" s="8">
        <v>4.33</v>
      </c>
      <c r="H18" s="10">
        <v>12277</v>
      </c>
    </row>
    <row r="19" spans="1:8" ht="14.4">
      <c r="A19" s="9">
        <v>45481</v>
      </c>
      <c r="B19" s="7" t="s">
        <v>1</v>
      </c>
      <c r="C19" s="8">
        <v>797</v>
      </c>
      <c r="D19" s="8">
        <v>130</v>
      </c>
      <c r="E19" s="19">
        <f t="shared" si="0"/>
        <v>667</v>
      </c>
      <c r="F19" s="8">
        <v>340121</v>
      </c>
      <c r="G19" s="8">
        <v>8.52</v>
      </c>
      <c r="H19" s="10">
        <v>11684</v>
      </c>
    </row>
    <row r="20" spans="1:8" ht="14.4">
      <c r="A20" s="9">
        <v>45481</v>
      </c>
      <c r="B20" s="7" t="s">
        <v>2</v>
      </c>
      <c r="C20" s="8">
        <v>1471</v>
      </c>
      <c r="D20" s="8">
        <v>100</v>
      </c>
      <c r="E20" s="19">
        <f t="shared" si="0"/>
        <v>1371</v>
      </c>
      <c r="F20" s="8">
        <v>76866</v>
      </c>
      <c r="G20" s="8">
        <v>8.5500000000000007</v>
      </c>
      <c r="H20" s="10">
        <v>14412</v>
      </c>
    </row>
    <row r="21" spans="1:8" ht="14.4">
      <c r="A21" s="9">
        <v>45481</v>
      </c>
      <c r="B21" s="7" t="s">
        <v>3</v>
      </c>
      <c r="C21" s="8">
        <v>1253</v>
      </c>
      <c r="D21" s="8">
        <v>136</v>
      </c>
      <c r="E21" s="19">
        <f t="shared" si="0"/>
        <v>1117</v>
      </c>
      <c r="F21" s="8">
        <v>193131</v>
      </c>
      <c r="G21" s="8">
        <v>7.99</v>
      </c>
      <c r="H21" s="10">
        <v>15924</v>
      </c>
    </row>
    <row r="22" spans="1:8" ht="14.4">
      <c r="A22" s="9">
        <v>45488</v>
      </c>
      <c r="B22" s="7" t="s">
        <v>1</v>
      </c>
      <c r="C22" s="8">
        <v>616</v>
      </c>
      <c r="D22" s="8">
        <v>257</v>
      </c>
      <c r="E22" s="19">
        <f t="shared" si="0"/>
        <v>359</v>
      </c>
      <c r="F22" s="8">
        <v>169665</v>
      </c>
      <c r="G22" s="8">
        <v>6.31</v>
      </c>
      <c r="H22" s="10">
        <v>12390</v>
      </c>
    </row>
    <row r="23" spans="1:8" ht="15.75" customHeight="1">
      <c r="A23" s="9">
        <v>45488</v>
      </c>
      <c r="B23" s="7" t="s">
        <v>2</v>
      </c>
      <c r="C23" s="8">
        <v>1308</v>
      </c>
      <c r="D23" s="8">
        <v>210</v>
      </c>
      <c r="E23" s="19">
        <f t="shared" si="0"/>
        <v>1098</v>
      </c>
      <c r="F23" s="8">
        <v>263729</v>
      </c>
      <c r="G23" s="8">
        <v>8.5299999999999994</v>
      </c>
      <c r="H23" s="10">
        <v>25742</v>
      </c>
    </row>
    <row r="24" spans="1:8" ht="15.75" customHeight="1">
      <c r="A24" s="9">
        <v>45488</v>
      </c>
      <c r="B24" s="7" t="s">
        <v>3</v>
      </c>
      <c r="C24" s="8">
        <v>981</v>
      </c>
      <c r="D24" s="8">
        <v>69</v>
      </c>
      <c r="E24" s="19">
        <f t="shared" si="0"/>
        <v>912</v>
      </c>
      <c r="F24" s="8">
        <v>206921</v>
      </c>
      <c r="G24" s="8">
        <v>8.42</v>
      </c>
      <c r="H24" s="10">
        <v>10495</v>
      </c>
    </row>
    <row r="25" spans="1:8" ht="15.75" customHeight="1">
      <c r="A25" s="9">
        <v>45495</v>
      </c>
      <c r="B25" s="7" t="s">
        <v>1</v>
      </c>
      <c r="C25" s="8">
        <v>866</v>
      </c>
      <c r="D25" s="8">
        <v>74</v>
      </c>
      <c r="E25" s="19">
        <f t="shared" si="0"/>
        <v>792</v>
      </c>
      <c r="F25" s="8">
        <v>204121</v>
      </c>
      <c r="G25" s="8">
        <v>9.34</v>
      </c>
      <c r="H25" s="10">
        <v>7797</v>
      </c>
    </row>
    <row r="26" spans="1:8" ht="15.75" customHeight="1">
      <c r="A26" s="9">
        <v>45495</v>
      </c>
      <c r="B26" s="7" t="s">
        <v>2</v>
      </c>
      <c r="C26" s="8">
        <v>547</v>
      </c>
      <c r="D26" s="8">
        <v>183</v>
      </c>
      <c r="E26" s="19">
        <f t="shared" si="0"/>
        <v>364</v>
      </c>
      <c r="F26" s="8">
        <v>266350</v>
      </c>
      <c r="G26" s="8">
        <v>5.65</v>
      </c>
      <c r="H26" s="10">
        <v>15595</v>
      </c>
    </row>
    <row r="27" spans="1:8" ht="15.75" customHeight="1">
      <c r="A27" s="9">
        <v>45495</v>
      </c>
      <c r="B27" s="7" t="s">
        <v>3</v>
      </c>
      <c r="C27" s="8">
        <v>1241</v>
      </c>
      <c r="D27" s="8">
        <v>116</v>
      </c>
      <c r="E27" s="19">
        <f t="shared" si="0"/>
        <v>1125</v>
      </c>
      <c r="F27" s="8">
        <v>380606</v>
      </c>
      <c r="G27" s="8">
        <v>4.2</v>
      </c>
      <c r="H27" s="10">
        <v>24617</v>
      </c>
    </row>
    <row r="28" spans="1:8" ht="15.75" customHeight="1">
      <c r="A28" s="9">
        <v>45502</v>
      </c>
      <c r="B28" s="7" t="s">
        <v>1</v>
      </c>
      <c r="C28" s="8">
        <v>973</v>
      </c>
      <c r="D28" s="8">
        <v>104</v>
      </c>
      <c r="E28" s="19">
        <f t="shared" si="0"/>
        <v>869</v>
      </c>
      <c r="F28" s="8">
        <v>376358</v>
      </c>
      <c r="G28" s="8">
        <v>3.87</v>
      </c>
      <c r="H28" s="10">
        <v>9847</v>
      </c>
    </row>
    <row r="29" spans="1:8" ht="15.75" customHeight="1">
      <c r="A29" s="9">
        <v>45502</v>
      </c>
      <c r="B29" s="7" t="s">
        <v>2</v>
      </c>
      <c r="C29" s="8">
        <v>611</v>
      </c>
      <c r="D29" s="8">
        <v>197</v>
      </c>
      <c r="E29" s="19">
        <f t="shared" si="0"/>
        <v>414</v>
      </c>
      <c r="F29" s="8">
        <v>79423</v>
      </c>
      <c r="G29" s="8">
        <v>5.82</v>
      </c>
      <c r="H29" s="10">
        <v>13644</v>
      </c>
    </row>
    <row r="30" spans="1:8" ht="15.75" customHeight="1">
      <c r="A30" s="9">
        <v>45502</v>
      </c>
      <c r="B30" s="7" t="s">
        <v>3</v>
      </c>
      <c r="C30" s="8">
        <v>983</v>
      </c>
      <c r="D30" s="8">
        <v>134</v>
      </c>
      <c r="E30" s="19">
        <f t="shared" si="0"/>
        <v>849</v>
      </c>
      <c r="F30" s="8">
        <v>352178</v>
      </c>
      <c r="G30" s="8">
        <v>3.55</v>
      </c>
      <c r="H30" s="10">
        <v>11421</v>
      </c>
    </row>
    <row r="31" spans="1:8" ht="15.75" customHeight="1">
      <c r="A31" s="9">
        <v>45509</v>
      </c>
      <c r="B31" s="7" t="s">
        <v>1</v>
      </c>
      <c r="C31" s="8">
        <v>1449</v>
      </c>
      <c r="D31" s="8">
        <v>96</v>
      </c>
      <c r="E31" s="19">
        <f t="shared" si="0"/>
        <v>1353</v>
      </c>
      <c r="F31" s="8">
        <v>200636</v>
      </c>
      <c r="G31" s="8">
        <v>9.92</v>
      </c>
      <c r="H31" s="10">
        <v>15613</v>
      </c>
    </row>
    <row r="32" spans="1:8" ht="15.75" customHeight="1">
      <c r="A32" s="9">
        <v>45509</v>
      </c>
      <c r="B32" s="7" t="s">
        <v>2</v>
      </c>
      <c r="C32" s="8">
        <v>752</v>
      </c>
      <c r="D32" s="8">
        <v>170</v>
      </c>
      <c r="E32" s="19">
        <f t="shared" si="0"/>
        <v>582</v>
      </c>
      <c r="F32" s="8">
        <v>132756</v>
      </c>
      <c r="G32" s="8">
        <v>8.17</v>
      </c>
      <c r="H32" s="10">
        <v>23900</v>
      </c>
    </row>
    <row r="33" spans="1:8" ht="15.75" customHeight="1">
      <c r="A33" s="9">
        <v>45509</v>
      </c>
      <c r="B33" s="7" t="s">
        <v>3</v>
      </c>
      <c r="C33" s="8">
        <v>937</v>
      </c>
      <c r="D33" s="8">
        <v>179</v>
      </c>
      <c r="E33" s="19">
        <f t="shared" si="0"/>
        <v>758</v>
      </c>
      <c r="F33" s="8">
        <v>318098</v>
      </c>
      <c r="G33" s="8">
        <v>5.3</v>
      </c>
      <c r="H33" s="10">
        <v>5836</v>
      </c>
    </row>
    <row r="34" spans="1:8" ht="15.75" customHeight="1">
      <c r="A34" s="9">
        <v>45516</v>
      </c>
      <c r="B34" s="7" t="s">
        <v>1</v>
      </c>
      <c r="C34" s="8">
        <v>1060</v>
      </c>
      <c r="D34" s="8">
        <v>83</v>
      </c>
      <c r="E34" s="19">
        <f t="shared" si="0"/>
        <v>977</v>
      </c>
      <c r="F34" s="8">
        <v>68724</v>
      </c>
      <c r="G34" s="8">
        <v>5.98</v>
      </c>
      <c r="H34" s="10">
        <v>5624</v>
      </c>
    </row>
    <row r="35" spans="1:8" ht="15.75" customHeight="1">
      <c r="A35" s="9">
        <v>45516</v>
      </c>
      <c r="B35" s="7" t="s">
        <v>2</v>
      </c>
      <c r="C35" s="8">
        <v>1456</v>
      </c>
      <c r="D35" s="8">
        <v>265</v>
      </c>
      <c r="E35" s="19">
        <f t="shared" si="0"/>
        <v>1191</v>
      </c>
      <c r="F35" s="8">
        <v>115505</v>
      </c>
      <c r="G35" s="8">
        <v>7.49</v>
      </c>
      <c r="H35" s="10">
        <v>10311</v>
      </c>
    </row>
    <row r="36" spans="1:8" ht="15.75" customHeight="1">
      <c r="A36" s="9">
        <v>45516</v>
      </c>
      <c r="B36" s="7" t="s">
        <v>3</v>
      </c>
      <c r="C36" s="8">
        <v>1109</v>
      </c>
      <c r="D36" s="8">
        <v>205</v>
      </c>
      <c r="E36" s="19">
        <f t="shared" ref="E36:E67" si="1">C36-D36</f>
        <v>904</v>
      </c>
      <c r="F36" s="8">
        <v>276722</v>
      </c>
      <c r="G36" s="8">
        <v>9.3800000000000008</v>
      </c>
      <c r="H36" s="10">
        <v>8274</v>
      </c>
    </row>
    <row r="37" spans="1:8" ht="15.75" customHeight="1">
      <c r="A37" s="9">
        <v>45523</v>
      </c>
      <c r="B37" s="7" t="s">
        <v>1</v>
      </c>
      <c r="C37" s="8">
        <v>1002</v>
      </c>
      <c r="D37" s="8">
        <v>93</v>
      </c>
      <c r="E37" s="19">
        <f t="shared" si="1"/>
        <v>909</v>
      </c>
      <c r="F37" s="8">
        <v>353538</v>
      </c>
      <c r="G37" s="8">
        <v>5.84</v>
      </c>
      <c r="H37" s="10">
        <v>6031</v>
      </c>
    </row>
    <row r="38" spans="1:8" ht="15.75" customHeight="1">
      <c r="A38" s="9">
        <v>45523</v>
      </c>
      <c r="B38" s="7" t="s">
        <v>2</v>
      </c>
      <c r="C38" s="8">
        <v>571</v>
      </c>
      <c r="D38" s="8">
        <v>189</v>
      </c>
      <c r="E38" s="19">
        <f t="shared" si="1"/>
        <v>382</v>
      </c>
      <c r="F38" s="8">
        <v>61445</v>
      </c>
      <c r="G38" s="8">
        <v>5.41</v>
      </c>
      <c r="H38" s="10">
        <v>27829</v>
      </c>
    </row>
    <row r="39" spans="1:8" ht="15.75" customHeight="1">
      <c r="A39" s="9">
        <v>45523</v>
      </c>
      <c r="B39" s="7" t="s">
        <v>3</v>
      </c>
      <c r="C39" s="8">
        <v>1240</v>
      </c>
      <c r="D39" s="8">
        <v>231</v>
      </c>
      <c r="E39" s="19">
        <f t="shared" si="1"/>
        <v>1009</v>
      </c>
      <c r="F39" s="8">
        <v>165035</v>
      </c>
      <c r="G39" s="8">
        <v>6.05</v>
      </c>
      <c r="H39" s="10">
        <v>18267</v>
      </c>
    </row>
    <row r="40" spans="1:8" ht="15.75" customHeight="1">
      <c r="A40" s="9">
        <v>45530</v>
      </c>
      <c r="B40" s="7" t="s">
        <v>1</v>
      </c>
      <c r="C40" s="8">
        <v>1154</v>
      </c>
      <c r="D40" s="8">
        <v>132</v>
      </c>
      <c r="E40" s="19">
        <f t="shared" si="1"/>
        <v>1022</v>
      </c>
      <c r="F40" s="8">
        <v>194595</v>
      </c>
      <c r="G40" s="8">
        <v>7.54</v>
      </c>
      <c r="H40" s="10">
        <v>26624</v>
      </c>
    </row>
    <row r="41" spans="1:8" ht="15.75" customHeight="1">
      <c r="A41" s="9">
        <v>45530</v>
      </c>
      <c r="B41" s="7" t="s">
        <v>2</v>
      </c>
      <c r="C41" s="8">
        <v>537</v>
      </c>
      <c r="D41" s="8">
        <v>275</v>
      </c>
      <c r="E41" s="19">
        <f t="shared" si="1"/>
        <v>262</v>
      </c>
      <c r="F41" s="8">
        <v>236238</v>
      </c>
      <c r="G41" s="8">
        <v>5.87</v>
      </c>
      <c r="H41" s="10">
        <v>26644</v>
      </c>
    </row>
    <row r="42" spans="1:8" ht="15.75" customHeight="1">
      <c r="A42" s="9">
        <v>45530</v>
      </c>
      <c r="B42" s="7" t="s">
        <v>3</v>
      </c>
      <c r="C42" s="8">
        <v>1456</v>
      </c>
      <c r="D42" s="8">
        <v>290</v>
      </c>
      <c r="E42" s="19">
        <f t="shared" si="1"/>
        <v>1166</v>
      </c>
      <c r="F42" s="8">
        <v>271044</v>
      </c>
      <c r="G42" s="8">
        <v>7.17</v>
      </c>
      <c r="H42" s="10">
        <v>13051</v>
      </c>
    </row>
    <row r="43" spans="1:8" ht="15.75" customHeight="1">
      <c r="A43" s="9">
        <v>45537</v>
      </c>
      <c r="B43" s="7" t="s">
        <v>1</v>
      </c>
      <c r="C43" s="8">
        <v>721</v>
      </c>
      <c r="D43" s="8">
        <v>206</v>
      </c>
      <c r="E43" s="19">
        <f t="shared" si="1"/>
        <v>515</v>
      </c>
      <c r="F43" s="8">
        <v>334887</v>
      </c>
      <c r="G43" s="8">
        <v>6.05</v>
      </c>
      <c r="H43" s="10">
        <v>14217</v>
      </c>
    </row>
    <row r="44" spans="1:8" ht="15.75" customHeight="1">
      <c r="A44" s="9">
        <v>45537</v>
      </c>
      <c r="B44" s="7" t="s">
        <v>2</v>
      </c>
      <c r="C44" s="8">
        <v>1098</v>
      </c>
      <c r="D44" s="8">
        <v>142</v>
      </c>
      <c r="E44" s="19">
        <f t="shared" si="1"/>
        <v>956</v>
      </c>
      <c r="F44" s="8">
        <v>359150</v>
      </c>
      <c r="G44" s="8">
        <v>7.51</v>
      </c>
      <c r="H44" s="10">
        <v>16385</v>
      </c>
    </row>
    <row r="45" spans="1:8" ht="15.75" customHeight="1">
      <c r="A45" s="9">
        <v>45537</v>
      </c>
      <c r="B45" s="7" t="s">
        <v>3</v>
      </c>
      <c r="C45" s="8">
        <v>1096</v>
      </c>
      <c r="D45" s="8">
        <v>65</v>
      </c>
      <c r="E45" s="19">
        <f t="shared" si="1"/>
        <v>1031</v>
      </c>
      <c r="F45" s="8">
        <v>358295</v>
      </c>
      <c r="G45" s="8">
        <v>7.66</v>
      </c>
      <c r="H45" s="10">
        <v>24548</v>
      </c>
    </row>
    <row r="46" spans="1:8" ht="15.75" customHeight="1">
      <c r="A46" s="9">
        <v>45544</v>
      </c>
      <c r="B46" s="7" t="s">
        <v>1</v>
      </c>
      <c r="C46" s="8">
        <v>912</v>
      </c>
      <c r="D46" s="8">
        <v>275</v>
      </c>
      <c r="E46" s="19">
        <f t="shared" si="1"/>
        <v>637</v>
      </c>
      <c r="F46" s="8">
        <v>368454</v>
      </c>
      <c r="G46" s="8">
        <v>6.03</v>
      </c>
      <c r="H46" s="10">
        <v>9195</v>
      </c>
    </row>
    <row r="47" spans="1:8" ht="15.75" customHeight="1">
      <c r="A47" s="9">
        <v>45544</v>
      </c>
      <c r="B47" s="7" t="s">
        <v>2</v>
      </c>
      <c r="C47" s="8">
        <v>1430</v>
      </c>
      <c r="D47" s="8">
        <v>162</v>
      </c>
      <c r="E47" s="19">
        <f t="shared" si="1"/>
        <v>1268</v>
      </c>
      <c r="F47" s="8">
        <v>269082</v>
      </c>
      <c r="G47" s="8">
        <v>3.4</v>
      </c>
      <c r="H47" s="10">
        <v>18071</v>
      </c>
    </row>
    <row r="48" spans="1:8" ht="15.75" customHeight="1">
      <c r="A48" s="9">
        <v>45544</v>
      </c>
      <c r="B48" s="7" t="s">
        <v>3</v>
      </c>
      <c r="C48" s="8">
        <v>854</v>
      </c>
      <c r="D48" s="8">
        <v>129</v>
      </c>
      <c r="E48" s="19">
        <f t="shared" si="1"/>
        <v>725</v>
      </c>
      <c r="F48" s="8">
        <v>310903</v>
      </c>
      <c r="G48" s="8">
        <v>7.83</v>
      </c>
      <c r="H48" s="10">
        <v>16875</v>
      </c>
    </row>
    <row r="49" spans="1:8" ht="15.75" customHeight="1">
      <c r="A49" s="9">
        <v>45551</v>
      </c>
      <c r="B49" s="7" t="s">
        <v>1</v>
      </c>
      <c r="C49" s="8">
        <v>681</v>
      </c>
      <c r="D49" s="8">
        <v>210</v>
      </c>
      <c r="E49" s="19">
        <f t="shared" si="1"/>
        <v>471</v>
      </c>
      <c r="F49" s="8">
        <v>248581</v>
      </c>
      <c r="G49" s="8">
        <v>8.76</v>
      </c>
      <c r="H49" s="10">
        <v>9567</v>
      </c>
    </row>
    <row r="50" spans="1:8" ht="15.75" customHeight="1">
      <c r="A50" s="9">
        <v>45551</v>
      </c>
      <c r="B50" s="7" t="s">
        <v>2</v>
      </c>
      <c r="C50" s="8">
        <v>1373</v>
      </c>
      <c r="D50" s="8">
        <v>82</v>
      </c>
      <c r="E50" s="19">
        <f t="shared" si="1"/>
        <v>1291</v>
      </c>
      <c r="F50" s="8">
        <v>371015</v>
      </c>
      <c r="G50" s="8">
        <v>9.52</v>
      </c>
      <c r="H50" s="10">
        <v>20306</v>
      </c>
    </row>
    <row r="51" spans="1:8" ht="15.75" customHeight="1">
      <c r="A51" s="9">
        <v>45551</v>
      </c>
      <c r="B51" s="7" t="s">
        <v>3</v>
      </c>
      <c r="C51" s="8">
        <v>685</v>
      </c>
      <c r="D51" s="8">
        <v>285</v>
      </c>
      <c r="E51" s="19">
        <f t="shared" si="1"/>
        <v>400</v>
      </c>
      <c r="F51" s="8">
        <v>177452</v>
      </c>
      <c r="G51" s="8">
        <v>3.36</v>
      </c>
      <c r="H51" s="10">
        <v>21134</v>
      </c>
    </row>
    <row r="52" spans="1:8" ht="15.75" customHeight="1">
      <c r="A52" s="9">
        <v>45558</v>
      </c>
      <c r="B52" s="7" t="s">
        <v>1</v>
      </c>
      <c r="C52" s="8">
        <v>1290</v>
      </c>
      <c r="D52" s="8">
        <v>177</v>
      </c>
      <c r="E52" s="19">
        <f t="shared" si="1"/>
        <v>1113</v>
      </c>
      <c r="F52" s="8">
        <v>80745</v>
      </c>
      <c r="G52" s="8">
        <v>9.2200000000000006</v>
      </c>
      <c r="H52" s="10">
        <v>26872</v>
      </c>
    </row>
    <row r="53" spans="1:8" ht="15.75" customHeight="1">
      <c r="A53" s="9">
        <v>45558</v>
      </c>
      <c r="B53" s="7" t="s">
        <v>2</v>
      </c>
      <c r="C53" s="8">
        <v>1437</v>
      </c>
      <c r="D53" s="8">
        <v>239</v>
      </c>
      <c r="E53" s="19">
        <f t="shared" si="1"/>
        <v>1198</v>
      </c>
      <c r="F53" s="8">
        <v>362441</v>
      </c>
      <c r="G53" s="8">
        <v>5.57</v>
      </c>
      <c r="H53" s="10">
        <v>10253</v>
      </c>
    </row>
    <row r="54" spans="1:8" ht="15.75" customHeight="1">
      <c r="A54" s="9">
        <v>45558</v>
      </c>
      <c r="B54" s="7" t="s">
        <v>3</v>
      </c>
      <c r="C54" s="8">
        <v>769</v>
      </c>
      <c r="D54" s="8">
        <v>295</v>
      </c>
      <c r="E54" s="19">
        <f t="shared" si="1"/>
        <v>474</v>
      </c>
      <c r="F54" s="8">
        <v>344771</v>
      </c>
      <c r="G54" s="8">
        <v>8.06</v>
      </c>
      <c r="H54" s="10">
        <v>23963</v>
      </c>
    </row>
    <row r="55" spans="1:8" ht="15.75" customHeight="1">
      <c r="A55" s="9">
        <v>45565</v>
      </c>
      <c r="B55" s="7" t="s">
        <v>1</v>
      </c>
      <c r="C55" s="8">
        <v>1416</v>
      </c>
      <c r="D55" s="8">
        <v>284</v>
      </c>
      <c r="E55" s="19">
        <f t="shared" si="1"/>
        <v>1132</v>
      </c>
      <c r="F55" s="8">
        <v>374952</v>
      </c>
      <c r="G55" s="8">
        <v>3.45</v>
      </c>
      <c r="H55" s="10">
        <v>11335</v>
      </c>
    </row>
    <row r="56" spans="1:8" ht="15.75" customHeight="1">
      <c r="A56" s="9">
        <v>45565</v>
      </c>
      <c r="B56" s="7" t="s">
        <v>2</v>
      </c>
      <c r="C56" s="8">
        <v>998</v>
      </c>
      <c r="D56" s="8">
        <v>154</v>
      </c>
      <c r="E56" s="19">
        <f t="shared" si="1"/>
        <v>844</v>
      </c>
      <c r="F56" s="8">
        <v>179781</v>
      </c>
      <c r="G56" s="8">
        <v>9.58</v>
      </c>
      <c r="H56" s="10">
        <v>12115</v>
      </c>
    </row>
    <row r="57" spans="1:8" ht="15.75" customHeight="1">
      <c r="A57" s="9">
        <v>45565</v>
      </c>
      <c r="B57" s="7" t="s">
        <v>3</v>
      </c>
      <c r="C57" s="8">
        <v>1421</v>
      </c>
      <c r="D57" s="8">
        <v>246</v>
      </c>
      <c r="E57" s="19">
        <f t="shared" si="1"/>
        <v>1175</v>
      </c>
      <c r="F57" s="8">
        <v>358581</v>
      </c>
      <c r="G57" s="8">
        <v>8.8800000000000008</v>
      </c>
      <c r="H57" s="10">
        <v>24358</v>
      </c>
    </row>
    <row r="58" spans="1:8" ht="15.75" customHeight="1">
      <c r="A58" s="9">
        <v>45572</v>
      </c>
      <c r="B58" s="7" t="s">
        <v>1</v>
      </c>
      <c r="C58" s="8">
        <v>764</v>
      </c>
      <c r="D58" s="8">
        <v>205</v>
      </c>
      <c r="E58" s="19">
        <f t="shared" si="1"/>
        <v>559</v>
      </c>
      <c r="F58" s="8">
        <v>319294</v>
      </c>
      <c r="G58" s="8">
        <v>6.23</v>
      </c>
      <c r="H58" s="10">
        <v>12181</v>
      </c>
    </row>
    <row r="59" spans="1:8" ht="15.75" customHeight="1">
      <c r="A59" s="9">
        <v>45572</v>
      </c>
      <c r="B59" s="7" t="s">
        <v>2</v>
      </c>
      <c r="C59" s="8">
        <v>678</v>
      </c>
      <c r="D59" s="8">
        <v>124</v>
      </c>
      <c r="E59" s="19">
        <f t="shared" si="1"/>
        <v>554</v>
      </c>
      <c r="F59" s="8">
        <v>192022</v>
      </c>
      <c r="G59" s="8">
        <v>8.4499999999999993</v>
      </c>
      <c r="H59" s="10">
        <v>17729</v>
      </c>
    </row>
    <row r="60" spans="1:8" ht="15.75" customHeight="1">
      <c r="A60" s="9">
        <v>45572</v>
      </c>
      <c r="B60" s="7" t="s">
        <v>3</v>
      </c>
      <c r="C60" s="8">
        <v>1328</v>
      </c>
      <c r="D60" s="8">
        <v>103</v>
      </c>
      <c r="E60" s="19">
        <f t="shared" si="1"/>
        <v>1225</v>
      </c>
      <c r="F60" s="8">
        <v>151462</v>
      </c>
      <c r="G60" s="8">
        <v>8.4</v>
      </c>
      <c r="H60" s="10">
        <v>10881</v>
      </c>
    </row>
    <row r="61" spans="1:8" ht="15.75" customHeight="1">
      <c r="A61" s="9">
        <v>45579</v>
      </c>
      <c r="B61" s="7" t="s">
        <v>1</v>
      </c>
      <c r="C61" s="8">
        <v>1161</v>
      </c>
      <c r="D61" s="8">
        <v>269</v>
      </c>
      <c r="E61" s="19">
        <f t="shared" si="1"/>
        <v>892</v>
      </c>
      <c r="F61" s="8">
        <v>188193</v>
      </c>
      <c r="G61" s="8">
        <v>7.34</v>
      </c>
      <c r="H61" s="10">
        <v>18576</v>
      </c>
    </row>
    <row r="62" spans="1:8" ht="15.75" customHeight="1">
      <c r="A62" s="9">
        <v>45579</v>
      </c>
      <c r="B62" s="7" t="s">
        <v>2</v>
      </c>
      <c r="C62" s="8">
        <v>588</v>
      </c>
      <c r="D62" s="8">
        <v>52</v>
      </c>
      <c r="E62" s="19">
        <f t="shared" si="1"/>
        <v>536</v>
      </c>
      <c r="F62" s="8">
        <v>292040</v>
      </c>
      <c r="G62" s="8">
        <v>8.14</v>
      </c>
      <c r="H62" s="10">
        <v>9383</v>
      </c>
    </row>
    <row r="63" spans="1:8" ht="15.75" customHeight="1">
      <c r="A63" s="9">
        <v>45579</v>
      </c>
      <c r="B63" s="7" t="s">
        <v>3</v>
      </c>
      <c r="C63" s="8">
        <v>1457</v>
      </c>
      <c r="D63" s="8">
        <v>215</v>
      </c>
      <c r="E63" s="19">
        <f t="shared" si="1"/>
        <v>1242</v>
      </c>
      <c r="F63" s="8">
        <v>325325</v>
      </c>
      <c r="G63" s="8">
        <v>9.58</v>
      </c>
      <c r="H63" s="10">
        <v>14178</v>
      </c>
    </row>
    <row r="64" spans="1:8" ht="15.75" customHeight="1">
      <c r="A64" s="9">
        <v>45586</v>
      </c>
      <c r="B64" s="7" t="s">
        <v>1</v>
      </c>
      <c r="C64" s="8">
        <v>1190</v>
      </c>
      <c r="D64" s="8">
        <v>242</v>
      </c>
      <c r="E64" s="19">
        <f t="shared" si="1"/>
        <v>948</v>
      </c>
      <c r="F64" s="8">
        <v>86849</v>
      </c>
      <c r="G64" s="8">
        <v>8.06</v>
      </c>
      <c r="H64" s="10">
        <v>21254</v>
      </c>
    </row>
    <row r="65" spans="1:8" ht="15.75" customHeight="1">
      <c r="A65" s="9">
        <v>45586</v>
      </c>
      <c r="B65" s="7" t="s">
        <v>2</v>
      </c>
      <c r="C65" s="8">
        <v>886</v>
      </c>
      <c r="D65" s="8">
        <v>124</v>
      </c>
      <c r="E65" s="19">
        <f t="shared" si="1"/>
        <v>762</v>
      </c>
      <c r="F65" s="8">
        <v>141161</v>
      </c>
      <c r="G65" s="8">
        <v>8.19</v>
      </c>
      <c r="H65" s="10">
        <v>14215</v>
      </c>
    </row>
    <row r="66" spans="1:8" ht="15.75" customHeight="1">
      <c r="A66" s="9">
        <v>45586</v>
      </c>
      <c r="B66" s="7" t="s">
        <v>3</v>
      </c>
      <c r="C66" s="8">
        <v>1237</v>
      </c>
      <c r="D66" s="8">
        <v>155</v>
      </c>
      <c r="E66" s="19">
        <f t="shared" si="1"/>
        <v>1082</v>
      </c>
      <c r="F66" s="8">
        <v>149916</v>
      </c>
      <c r="G66" s="8">
        <v>4.4800000000000004</v>
      </c>
      <c r="H66" s="10">
        <v>16921</v>
      </c>
    </row>
    <row r="67" spans="1:8" ht="15.75" customHeight="1">
      <c r="A67" s="9">
        <v>45593</v>
      </c>
      <c r="B67" s="7" t="s">
        <v>1</v>
      </c>
      <c r="C67" s="8">
        <v>1435</v>
      </c>
      <c r="D67" s="8">
        <v>261</v>
      </c>
      <c r="E67" s="19">
        <f t="shared" si="1"/>
        <v>1174</v>
      </c>
      <c r="F67" s="8">
        <v>308533</v>
      </c>
      <c r="G67" s="8">
        <v>4.5199999999999996</v>
      </c>
      <c r="H67" s="10">
        <v>25130</v>
      </c>
    </row>
    <row r="68" spans="1:8" ht="15.75" customHeight="1">
      <c r="A68" s="9">
        <v>45593</v>
      </c>
      <c r="B68" s="7" t="s">
        <v>2</v>
      </c>
      <c r="C68" s="8">
        <v>746</v>
      </c>
      <c r="D68" s="8">
        <v>282</v>
      </c>
      <c r="E68" s="19">
        <f t="shared" ref="E68" si="2">C68-D68</f>
        <v>464</v>
      </c>
      <c r="F68" s="8">
        <v>293894</v>
      </c>
      <c r="G68" s="8">
        <v>5.42</v>
      </c>
      <c r="H68" s="10">
        <v>25537</v>
      </c>
    </row>
    <row r="69" spans="1:8" ht="15.75" customHeight="1">
      <c r="A69" s="9">
        <v>45593</v>
      </c>
      <c r="B69" s="7" t="s">
        <v>3</v>
      </c>
      <c r="C69" s="8">
        <v>759</v>
      </c>
      <c r="D69" s="8">
        <v>216</v>
      </c>
      <c r="E69" s="19">
        <f t="shared" ref="E69:E132" si="3">C69-D69</f>
        <v>543</v>
      </c>
      <c r="F69" s="8">
        <v>147656</v>
      </c>
      <c r="G69" s="8">
        <v>4.08</v>
      </c>
      <c r="H69" s="10">
        <v>24943</v>
      </c>
    </row>
    <row r="70" spans="1:8" ht="15.75" customHeight="1">
      <c r="A70" s="9">
        <v>45600</v>
      </c>
      <c r="B70" s="7" t="s">
        <v>1</v>
      </c>
      <c r="C70" s="8">
        <v>1437</v>
      </c>
      <c r="D70" s="8">
        <v>235</v>
      </c>
      <c r="E70" s="19">
        <f t="shared" si="3"/>
        <v>1202</v>
      </c>
      <c r="F70" s="8">
        <v>326791</v>
      </c>
      <c r="G70" s="8">
        <v>4.0599999999999996</v>
      </c>
      <c r="H70" s="10">
        <v>14563</v>
      </c>
    </row>
    <row r="71" spans="1:8" ht="15.75" customHeight="1">
      <c r="A71" s="9">
        <v>45600</v>
      </c>
      <c r="B71" s="7" t="s">
        <v>2</v>
      </c>
      <c r="C71" s="8">
        <v>1463</v>
      </c>
      <c r="D71" s="8">
        <v>73</v>
      </c>
      <c r="E71" s="19">
        <f t="shared" si="3"/>
        <v>1390</v>
      </c>
      <c r="F71" s="8">
        <v>348877</v>
      </c>
      <c r="G71" s="8">
        <v>9.91</v>
      </c>
      <c r="H71" s="10">
        <v>26273</v>
      </c>
    </row>
    <row r="72" spans="1:8" ht="15.75" customHeight="1">
      <c r="A72" s="9">
        <v>45600</v>
      </c>
      <c r="B72" s="7" t="s">
        <v>3</v>
      </c>
      <c r="C72" s="8">
        <v>1208</v>
      </c>
      <c r="D72" s="8">
        <v>224</v>
      </c>
      <c r="E72" s="19">
        <f t="shared" si="3"/>
        <v>984</v>
      </c>
      <c r="F72" s="8">
        <v>122730</v>
      </c>
      <c r="G72" s="8">
        <v>8.7200000000000006</v>
      </c>
      <c r="H72" s="10">
        <v>10858</v>
      </c>
    </row>
    <row r="73" spans="1:8" ht="15.75" customHeight="1">
      <c r="A73" s="9">
        <v>45607</v>
      </c>
      <c r="B73" s="7" t="s">
        <v>1</v>
      </c>
      <c r="C73" s="8">
        <v>1391</v>
      </c>
      <c r="D73" s="8">
        <v>187</v>
      </c>
      <c r="E73" s="19">
        <f t="shared" si="3"/>
        <v>1204</v>
      </c>
      <c r="F73" s="8">
        <v>306508</v>
      </c>
      <c r="G73" s="8">
        <v>8.3800000000000008</v>
      </c>
      <c r="H73" s="10">
        <v>25038</v>
      </c>
    </row>
    <row r="74" spans="1:8" ht="15.75" customHeight="1">
      <c r="A74" s="9">
        <v>45607</v>
      </c>
      <c r="B74" s="7" t="s">
        <v>2</v>
      </c>
      <c r="C74" s="8">
        <v>655</v>
      </c>
      <c r="D74" s="8">
        <v>123</v>
      </c>
      <c r="E74" s="19">
        <f t="shared" si="3"/>
        <v>532</v>
      </c>
      <c r="F74" s="8">
        <v>202472</v>
      </c>
      <c r="G74" s="8">
        <v>7.56</v>
      </c>
      <c r="H74" s="10">
        <v>9092</v>
      </c>
    </row>
    <row r="75" spans="1:8" ht="15.75" customHeight="1">
      <c r="A75" s="9">
        <v>45607</v>
      </c>
      <c r="B75" s="7" t="s">
        <v>3</v>
      </c>
      <c r="C75" s="8">
        <v>1148</v>
      </c>
      <c r="D75" s="8">
        <v>90</v>
      </c>
      <c r="E75" s="19">
        <f t="shared" si="3"/>
        <v>1058</v>
      </c>
      <c r="F75" s="8">
        <v>227249</v>
      </c>
      <c r="G75" s="8">
        <v>7.24</v>
      </c>
      <c r="H75" s="10">
        <v>17662</v>
      </c>
    </row>
    <row r="76" spans="1:8" ht="15.75" customHeight="1">
      <c r="A76" s="9">
        <v>45614</v>
      </c>
      <c r="B76" s="7" t="s">
        <v>1</v>
      </c>
      <c r="C76" s="8">
        <v>946</v>
      </c>
      <c r="D76" s="8">
        <v>270</v>
      </c>
      <c r="E76" s="19">
        <f t="shared" si="3"/>
        <v>676</v>
      </c>
      <c r="F76" s="8">
        <v>246567</v>
      </c>
      <c r="G76" s="8">
        <v>4.53</v>
      </c>
      <c r="H76" s="10">
        <v>5924</v>
      </c>
    </row>
    <row r="77" spans="1:8" ht="15.75" customHeight="1">
      <c r="A77" s="9">
        <v>45614</v>
      </c>
      <c r="B77" s="7" t="s">
        <v>2</v>
      </c>
      <c r="C77" s="8">
        <v>791</v>
      </c>
      <c r="D77" s="8">
        <v>214</v>
      </c>
      <c r="E77" s="19">
        <f t="shared" si="3"/>
        <v>577</v>
      </c>
      <c r="F77" s="8">
        <v>114738</v>
      </c>
      <c r="G77" s="8">
        <v>6.62</v>
      </c>
      <c r="H77" s="10">
        <v>25347</v>
      </c>
    </row>
    <row r="78" spans="1:8" ht="15.75" customHeight="1">
      <c r="A78" s="9">
        <v>45614</v>
      </c>
      <c r="B78" s="7" t="s">
        <v>3</v>
      </c>
      <c r="C78" s="8">
        <v>793</v>
      </c>
      <c r="D78" s="8">
        <v>111</v>
      </c>
      <c r="E78" s="19">
        <f t="shared" si="3"/>
        <v>682</v>
      </c>
      <c r="F78" s="8">
        <v>333500</v>
      </c>
      <c r="G78" s="8">
        <v>6.36</v>
      </c>
      <c r="H78" s="10">
        <v>8910</v>
      </c>
    </row>
    <row r="79" spans="1:8" ht="15.75" customHeight="1">
      <c r="A79" s="9">
        <v>45621</v>
      </c>
      <c r="B79" s="7" t="s">
        <v>1</v>
      </c>
      <c r="C79" s="8">
        <v>663</v>
      </c>
      <c r="D79" s="8">
        <v>213</v>
      </c>
      <c r="E79" s="19">
        <f t="shared" si="3"/>
        <v>450</v>
      </c>
      <c r="F79" s="8">
        <v>352677</v>
      </c>
      <c r="G79" s="8">
        <v>9</v>
      </c>
      <c r="H79" s="10">
        <v>20438</v>
      </c>
    </row>
    <row r="80" spans="1:8" ht="15.75" customHeight="1">
      <c r="A80" s="9">
        <v>45621</v>
      </c>
      <c r="B80" s="7" t="s">
        <v>2</v>
      </c>
      <c r="C80" s="8">
        <v>954</v>
      </c>
      <c r="D80" s="8">
        <v>271</v>
      </c>
      <c r="E80" s="19">
        <f t="shared" si="3"/>
        <v>683</v>
      </c>
      <c r="F80" s="8">
        <v>160936</v>
      </c>
      <c r="G80" s="8">
        <v>8.83</v>
      </c>
      <c r="H80" s="10">
        <v>8760</v>
      </c>
    </row>
    <row r="81" spans="1:8" ht="15.75" customHeight="1">
      <c r="A81" s="9">
        <v>45621</v>
      </c>
      <c r="B81" s="7" t="s">
        <v>3</v>
      </c>
      <c r="C81" s="8">
        <v>1313</v>
      </c>
      <c r="D81" s="8">
        <v>159</v>
      </c>
      <c r="E81" s="19">
        <f t="shared" si="3"/>
        <v>1154</v>
      </c>
      <c r="F81" s="8">
        <v>197183</v>
      </c>
      <c r="G81" s="8">
        <v>9.7100000000000009</v>
      </c>
      <c r="H81" s="10">
        <v>6625</v>
      </c>
    </row>
    <row r="82" spans="1:8" ht="15.75" customHeight="1">
      <c r="A82" s="9">
        <v>45628</v>
      </c>
      <c r="B82" s="7" t="s">
        <v>1</v>
      </c>
      <c r="C82" s="8">
        <v>895</v>
      </c>
      <c r="D82" s="8">
        <v>87</v>
      </c>
      <c r="E82" s="19">
        <f t="shared" si="3"/>
        <v>808</v>
      </c>
      <c r="F82" s="8">
        <v>171271</v>
      </c>
      <c r="G82" s="8">
        <v>6.68</v>
      </c>
      <c r="H82" s="10">
        <v>23329</v>
      </c>
    </row>
    <row r="83" spans="1:8" ht="15.75" customHeight="1">
      <c r="A83" s="9">
        <v>45628</v>
      </c>
      <c r="B83" s="7" t="s">
        <v>2</v>
      </c>
      <c r="C83" s="8">
        <v>1027</v>
      </c>
      <c r="D83" s="8">
        <v>156</v>
      </c>
      <c r="E83" s="19">
        <f t="shared" si="3"/>
        <v>871</v>
      </c>
      <c r="F83" s="8">
        <v>111293</v>
      </c>
      <c r="G83" s="8">
        <v>5.51</v>
      </c>
      <c r="H83" s="10">
        <v>7299</v>
      </c>
    </row>
    <row r="84" spans="1:8" ht="15.75" customHeight="1">
      <c r="A84" s="9">
        <v>45628</v>
      </c>
      <c r="B84" s="7" t="s">
        <v>3</v>
      </c>
      <c r="C84" s="8">
        <v>990</v>
      </c>
      <c r="D84" s="8">
        <v>286</v>
      </c>
      <c r="E84" s="19">
        <f t="shared" si="3"/>
        <v>704</v>
      </c>
      <c r="F84" s="8">
        <v>351493</v>
      </c>
      <c r="G84" s="8">
        <v>7.97</v>
      </c>
      <c r="H84" s="10">
        <v>14496</v>
      </c>
    </row>
    <row r="85" spans="1:8" ht="15.75" customHeight="1">
      <c r="A85" s="9">
        <v>45635</v>
      </c>
      <c r="B85" s="7" t="s">
        <v>1</v>
      </c>
      <c r="C85" s="8">
        <v>875</v>
      </c>
      <c r="D85" s="8">
        <v>264</v>
      </c>
      <c r="E85" s="19">
        <f t="shared" si="3"/>
        <v>611</v>
      </c>
      <c r="F85" s="8">
        <v>345631</v>
      </c>
      <c r="G85" s="8">
        <v>9.18</v>
      </c>
      <c r="H85" s="10">
        <v>25703</v>
      </c>
    </row>
    <row r="86" spans="1:8" ht="15.75" customHeight="1">
      <c r="A86" s="9">
        <v>45635</v>
      </c>
      <c r="B86" s="7" t="s">
        <v>2</v>
      </c>
      <c r="C86" s="8">
        <v>599</v>
      </c>
      <c r="D86" s="8">
        <v>194</v>
      </c>
      <c r="E86" s="19">
        <f t="shared" si="3"/>
        <v>405</v>
      </c>
      <c r="F86" s="8">
        <v>105622</v>
      </c>
      <c r="G86" s="8">
        <v>6.44</v>
      </c>
      <c r="H86" s="10">
        <v>15108</v>
      </c>
    </row>
    <row r="87" spans="1:8" ht="15.75" customHeight="1">
      <c r="A87" s="9">
        <v>45635</v>
      </c>
      <c r="B87" s="7" t="s">
        <v>3</v>
      </c>
      <c r="C87" s="8">
        <v>630</v>
      </c>
      <c r="D87" s="8">
        <v>248</v>
      </c>
      <c r="E87" s="19">
        <f t="shared" si="3"/>
        <v>382</v>
      </c>
      <c r="F87" s="8">
        <v>119054</v>
      </c>
      <c r="G87" s="8">
        <v>5.0199999999999996</v>
      </c>
      <c r="H87" s="10">
        <v>18867</v>
      </c>
    </row>
    <row r="88" spans="1:8" ht="15.75" customHeight="1">
      <c r="A88" s="9">
        <v>45642</v>
      </c>
      <c r="B88" s="7" t="s">
        <v>1</v>
      </c>
      <c r="C88" s="8">
        <v>1350</v>
      </c>
      <c r="D88" s="8">
        <v>233</v>
      </c>
      <c r="E88" s="19">
        <f t="shared" si="3"/>
        <v>1117</v>
      </c>
      <c r="F88" s="8">
        <v>171670</v>
      </c>
      <c r="G88" s="8">
        <v>4.53</v>
      </c>
      <c r="H88" s="10">
        <v>17574</v>
      </c>
    </row>
    <row r="89" spans="1:8" ht="15.75" customHeight="1">
      <c r="A89" s="9">
        <v>45642</v>
      </c>
      <c r="B89" s="7" t="s">
        <v>2</v>
      </c>
      <c r="C89" s="8">
        <v>632</v>
      </c>
      <c r="D89" s="8">
        <v>155</v>
      </c>
      <c r="E89" s="19">
        <f t="shared" si="3"/>
        <v>477</v>
      </c>
      <c r="F89" s="8">
        <v>170432</v>
      </c>
      <c r="G89" s="8">
        <v>9.17</v>
      </c>
      <c r="H89" s="10">
        <v>12840</v>
      </c>
    </row>
    <row r="90" spans="1:8" ht="15.75" customHeight="1">
      <c r="A90" s="9">
        <v>45642</v>
      </c>
      <c r="B90" s="7" t="s">
        <v>3</v>
      </c>
      <c r="C90" s="8">
        <v>1182</v>
      </c>
      <c r="D90" s="8">
        <v>83</v>
      </c>
      <c r="E90" s="19">
        <f t="shared" si="3"/>
        <v>1099</v>
      </c>
      <c r="F90" s="8">
        <v>140300</v>
      </c>
      <c r="G90" s="8">
        <v>3.27</v>
      </c>
      <c r="H90" s="10">
        <v>21079</v>
      </c>
    </row>
    <row r="91" spans="1:8" ht="15.75" customHeight="1">
      <c r="A91" s="9">
        <v>45649</v>
      </c>
      <c r="B91" s="7" t="s">
        <v>1</v>
      </c>
      <c r="C91" s="8">
        <v>661</v>
      </c>
      <c r="D91" s="8">
        <v>94</v>
      </c>
      <c r="E91" s="19">
        <f t="shared" si="3"/>
        <v>567</v>
      </c>
      <c r="F91" s="8">
        <v>116538</v>
      </c>
      <c r="G91" s="8">
        <v>5.31</v>
      </c>
      <c r="H91" s="10">
        <v>23486</v>
      </c>
    </row>
    <row r="92" spans="1:8" ht="15.75" customHeight="1">
      <c r="A92" s="9">
        <v>45649</v>
      </c>
      <c r="B92" s="7" t="s">
        <v>2</v>
      </c>
      <c r="C92" s="8">
        <v>1360</v>
      </c>
      <c r="D92" s="8">
        <v>227</v>
      </c>
      <c r="E92" s="19">
        <f t="shared" si="3"/>
        <v>1133</v>
      </c>
      <c r="F92" s="8">
        <v>176902</v>
      </c>
      <c r="G92" s="8">
        <v>6.03</v>
      </c>
      <c r="H92" s="10">
        <v>5960</v>
      </c>
    </row>
    <row r="93" spans="1:8" ht="15.75" customHeight="1">
      <c r="A93" s="9">
        <v>45649</v>
      </c>
      <c r="B93" s="7" t="s">
        <v>3</v>
      </c>
      <c r="C93" s="8">
        <v>935</v>
      </c>
      <c r="D93" s="8">
        <v>85</v>
      </c>
      <c r="E93" s="19">
        <f t="shared" si="3"/>
        <v>850</v>
      </c>
      <c r="F93" s="8">
        <v>326821</v>
      </c>
      <c r="G93" s="8">
        <v>8.89</v>
      </c>
      <c r="H93" s="10">
        <v>13301</v>
      </c>
    </row>
    <row r="94" spans="1:8" ht="15.75" customHeight="1">
      <c r="A94" s="9">
        <v>45656</v>
      </c>
      <c r="B94" s="7" t="s">
        <v>1</v>
      </c>
      <c r="C94" s="8">
        <v>664</v>
      </c>
      <c r="D94" s="8">
        <v>251</v>
      </c>
      <c r="E94" s="19">
        <f t="shared" si="3"/>
        <v>413</v>
      </c>
      <c r="F94" s="8">
        <v>240598</v>
      </c>
      <c r="G94" s="8">
        <v>4.79</v>
      </c>
      <c r="H94" s="10">
        <v>10563</v>
      </c>
    </row>
    <row r="95" spans="1:8" ht="15.75" customHeight="1">
      <c r="A95" s="9">
        <v>45656</v>
      </c>
      <c r="B95" s="7" t="s">
        <v>2</v>
      </c>
      <c r="C95" s="8">
        <v>1490</v>
      </c>
      <c r="D95" s="8">
        <v>103</v>
      </c>
      <c r="E95" s="19">
        <f t="shared" si="3"/>
        <v>1387</v>
      </c>
      <c r="F95" s="8">
        <v>373274</v>
      </c>
      <c r="G95" s="8">
        <v>4.8</v>
      </c>
      <c r="H95" s="10">
        <v>19949</v>
      </c>
    </row>
    <row r="96" spans="1:8" ht="15.75" customHeight="1">
      <c r="A96" s="9">
        <v>45656</v>
      </c>
      <c r="B96" s="7" t="s">
        <v>3</v>
      </c>
      <c r="C96" s="8">
        <v>601</v>
      </c>
      <c r="D96" s="8">
        <v>64</v>
      </c>
      <c r="E96" s="19">
        <f t="shared" si="3"/>
        <v>537</v>
      </c>
      <c r="F96" s="8">
        <v>123272</v>
      </c>
      <c r="G96" s="8">
        <v>4.07</v>
      </c>
      <c r="H96" s="10">
        <v>14273</v>
      </c>
    </row>
    <row r="97" spans="1:8" ht="15.75" customHeight="1">
      <c r="A97" s="9">
        <v>45663</v>
      </c>
      <c r="B97" s="7" t="s">
        <v>1</v>
      </c>
      <c r="C97" s="8">
        <v>613</v>
      </c>
      <c r="D97" s="8">
        <v>170</v>
      </c>
      <c r="E97" s="19">
        <f t="shared" si="3"/>
        <v>443</v>
      </c>
      <c r="F97" s="8">
        <v>139266</v>
      </c>
      <c r="G97" s="8">
        <v>6.06</v>
      </c>
      <c r="H97" s="10">
        <v>9247</v>
      </c>
    </row>
    <row r="98" spans="1:8" ht="15.75" customHeight="1">
      <c r="A98" s="9">
        <v>45663</v>
      </c>
      <c r="B98" s="7" t="s">
        <v>2</v>
      </c>
      <c r="C98" s="8">
        <v>1340</v>
      </c>
      <c r="D98" s="8">
        <v>57</v>
      </c>
      <c r="E98" s="19">
        <f t="shared" si="3"/>
        <v>1283</v>
      </c>
      <c r="F98" s="8">
        <v>155927</v>
      </c>
      <c r="G98" s="8">
        <v>7.79</v>
      </c>
      <c r="H98" s="10">
        <v>11972</v>
      </c>
    </row>
    <row r="99" spans="1:8" ht="15.75" customHeight="1">
      <c r="A99" s="9">
        <v>45663</v>
      </c>
      <c r="B99" s="7" t="s">
        <v>3</v>
      </c>
      <c r="C99" s="8">
        <v>953</v>
      </c>
      <c r="D99" s="8">
        <v>228</v>
      </c>
      <c r="E99" s="19">
        <f t="shared" si="3"/>
        <v>725</v>
      </c>
      <c r="F99" s="8">
        <v>258398</v>
      </c>
      <c r="G99" s="8">
        <v>9.0500000000000007</v>
      </c>
      <c r="H99" s="10">
        <v>13314</v>
      </c>
    </row>
    <row r="100" spans="1:8" ht="15.75" customHeight="1">
      <c r="A100" s="9">
        <v>45670</v>
      </c>
      <c r="B100" s="7" t="s">
        <v>1</v>
      </c>
      <c r="C100" s="8">
        <v>532</v>
      </c>
      <c r="D100" s="8">
        <v>65</v>
      </c>
      <c r="E100" s="19">
        <f t="shared" si="3"/>
        <v>467</v>
      </c>
      <c r="F100" s="8">
        <v>338561</v>
      </c>
      <c r="G100" s="8">
        <v>3.5</v>
      </c>
      <c r="H100" s="10">
        <v>14749</v>
      </c>
    </row>
    <row r="101" spans="1:8" ht="15.75" customHeight="1">
      <c r="A101" s="9">
        <v>45670</v>
      </c>
      <c r="B101" s="7" t="s">
        <v>2</v>
      </c>
      <c r="C101" s="8">
        <v>1414</v>
      </c>
      <c r="D101" s="8">
        <v>60</v>
      </c>
      <c r="E101" s="19">
        <f t="shared" si="3"/>
        <v>1354</v>
      </c>
      <c r="F101" s="8">
        <v>341856</v>
      </c>
      <c r="G101" s="8">
        <v>8.76</v>
      </c>
      <c r="H101" s="10">
        <v>6868</v>
      </c>
    </row>
    <row r="102" spans="1:8" ht="15.75" customHeight="1">
      <c r="A102" s="9">
        <v>45670</v>
      </c>
      <c r="B102" s="7" t="s">
        <v>3</v>
      </c>
      <c r="C102" s="8">
        <v>685</v>
      </c>
      <c r="D102" s="8">
        <v>165</v>
      </c>
      <c r="E102" s="19">
        <f t="shared" si="3"/>
        <v>520</v>
      </c>
      <c r="F102" s="8">
        <v>175860</v>
      </c>
      <c r="G102" s="8">
        <v>6.26</v>
      </c>
      <c r="H102" s="10">
        <v>6027</v>
      </c>
    </row>
    <row r="103" spans="1:8" ht="15.75" customHeight="1">
      <c r="A103" s="9">
        <v>45677</v>
      </c>
      <c r="B103" s="7" t="s">
        <v>1</v>
      </c>
      <c r="C103" s="8">
        <v>601</v>
      </c>
      <c r="D103" s="8">
        <v>159</v>
      </c>
      <c r="E103" s="19">
        <f t="shared" si="3"/>
        <v>442</v>
      </c>
      <c r="F103" s="8">
        <v>327722</v>
      </c>
      <c r="G103" s="8">
        <v>3.33</v>
      </c>
      <c r="H103" s="10">
        <v>25267</v>
      </c>
    </row>
    <row r="104" spans="1:8" ht="15.75" customHeight="1">
      <c r="A104" s="9">
        <v>45677</v>
      </c>
      <c r="B104" s="7" t="s">
        <v>2</v>
      </c>
      <c r="C104" s="8">
        <v>841</v>
      </c>
      <c r="D104" s="8">
        <v>295</v>
      </c>
      <c r="E104" s="19">
        <f t="shared" si="3"/>
        <v>546</v>
      </c>
      <c r="F104" s="8">
        <v>271638</v>
      </c>
      <c r="G104" s="8">
        <v>9.15</v>
      </c>
      <c r="H104" s="10">
        <v>5900</v>
      </c>
    </row>
    <row r="105" spans="1:8" ht="15.75" customHeight="1">
      <c r="A105" s="9">
        <v>45677</v>
      </c>
      <c r="B105" s="7" t="s">
        <v>3</v>
      </c>
      <c r="C105" s="8">
        <v>1105</v>
      </c>
      <c r="D105" s="8">
        <v>261</v>
      </c>
      <c r="E105" s="19">
        <f t="shared" si="3"/>
        <v>844</v>
      </c>
      <c r="F105" s="8">
        <v>333851</v>
      </c>
      <c r="G105" s="8">
        <v>6.03</v>
      </c>
      <c r="H105" s="10">
        <v>11181</v>
      </c>
    </row>
    <row r="106" spans="1:8" ht="15.75" customHeight="1">
      <c r="A106" s="9">
        <v>45684</v>
      </c>
      <c r="B106" s="7" t="s">
        <v>1</v>
      </c>
      <c r="C106" s="8">
        <v>566</v>
      </c>
      <c r="D106" s="8">
        <v>225</v>
      </c>
      <c r="E106" s="19">
        <f t="shared" si="3"/>
        <v>341</v>
      </c>
      <c r="F106" s="8">
        <v>368984</v>
      </c>
      <c r="G106" s="8">
        <v>9.82</v>
      </c>
      <c r="H106" s="10">
        <v>9592</v>
      </c>
    </row>
    <row r="107" spans="1:8" ht="15.75" customHeight="1">
      <c r="A107" s="9">
        <v>45684</v>
      </c>
      <c r="B107" s="7" t="s">
        <v>2</v>
      </c>
      <c r="C107" s="8">
        <v>1149</v>
      </c>
      <c r="D107" s="8">
        <v>280</v>
      </c>
      <c r="E107" s="19">
        <f t="shared" si="3"/>
        <v>869</v>
      </c>
      <c r="F107" s="8">
        <v>167310</v>
      </c>
      <c r="G107" s="8">
        <v>3.7</v>
      </c>
      <c r="H107" s="10">
        <v>5291</v>
      </c>
    </row>
    <row r="108" spans="1:8" ht="15.75" customHeight="1">
      <c r="A108" s="9">
        <v>45684</v>
      </c>
      <c r="B108" s="7" t="s">
        <v>3</v>
      </c>
      <c r="C108" s="8">
        <v>819</v>
      </c>
      <c r="D108" s="8">
        <v>101</v>
      </c>
      <c r="E108" s="19">
        <f t="shared" si="3"/>
        <v>718</v>
      </c>
      <c r="F108" s="8">
        <v>194811</v>
      </c>
      <c r="G108" s="8">
        <v>3.35</v>
      </c>
      <c r="H108" s="10">
        <v>22244</v>
      </c>
    </row>
    <row r="109" spans="1:8" ht="15.75" customHeight="1">
      <c r="A109" s="9">
        <v>45691</v>
      </c>
      <c r="B109" s="7" t="s">
        <v>1</v>
      </c>
      <c r="C109" s="8">
        <v>795</v>
      </c>
      <c r="D109" s="8">
        <v>60</v>
      </c>
      <c r="E109" s="19">
        <f t="shared" si="3"/>
        <v>735</v>
      </c>
      <c r="F109" s="8">
        <v>314982</v>
      </c>
      <c r="G109" s="8">
        <v>7.31</v>
      </c>
      <c r="H109" s="10">
        <v>6824</v>
      </c>
    </row>
    <row r="110" spans="1:8" ht="15.75" customHeight="1">
      <c r="A110" s="9">
        <v>45691</v>
      </c>
      <c r="B110" s="7" t="s">
        <v>2</v>
      </c>
      <c r="C110" s="8">
        <v>681</v>
      </c>
      <c r="D110" s="8">
        <v>158</v>
      </c>
      <c r="E110" s="19">
        <f t="shared" si="3"/>
        <v>523</v>
      </c>
      <c r="F110" s="8">
        <v>75960</v>
      </c>
      <c r="G110" s="8">
        <v>3.13</v>
      </c>
      <c r="H110" s="10">
        <v>24112</v>
      </c>
    </row>
    <row r="111" spans="1:8" ht="15.75" customHeight="1">
      <c r="A111" s="9">
        <v>45691</v>
      </c>
      <c r="B111" s="7" t="s">
        <v>3</v>
      </c>
      <c r="C111" s="8">
        <v>534</v>
      </c>
      <c r="D111" s="8">
        <v>112</v>
      </c>
      <c r="E111" s="19">
        <f t="shared" si="3"/>
        <v>422</v>
      </c>
      <c r="F111" s="8">
        <v>360759</v>
      </c>
      <c r="G111" s="8">
        <v>4.8899999999999997</v>
      </c>
      <c r="H111" s="10">
        <v>25478</v>
      </c>
    </row>
    <row r="112" spans="1:8" ht="15.75" customHeight="1">
      <c r="A112" s="9">
        <v>45698</v>
      </c>
      <c r="B112" s="7" t="s">
        <v>1</v>
      </c>
      <c r="C112" s="8">
        <v>1066</v>
      </c>
      <c r="D112" s="8">
        <v>151</v>
      </c>
      <c r="E112" s="19">
        <f t="shared" si="3"/>
        <v>915</v>
      </c>
      <c r="F112" s="8">
        <v>297090</v>
      </c>
      <c r="G112" s="8">
        <v>8.6300000000000008</v>
      </c>
      <c r="H112" s="10">
        <v>11235</v>
      </c>
    </row>
    <row r="113" spans="1:8" ht="15.75" customHeight="1">
      <c r="A113" s="9">
        <v>45698</v>
      </c>
      <c r="B113" s="7" t="s">
        <v>2</v>
      </c>
      <c r="C113" s="8">
        <v>1270</v>
      </c>
      <c r="D113" s="8">
        <v>162</v>
      </c>
      <c r="E113" s="19">
        <f t="shared" si="3"/>
        <v>1108</v>
      </c>
      <c r="F113" s="8">
        <v>92040</v>
      </c>
      <c r="G113" s="8">
        <v>8.0299999999999994</v>
      </c>
      <c r="H113" s="10">
        <v>6120</v>
      </c>
    </row>
    <row r="114" spans="1:8" ht="15.75" customHeight="1">
      <c r="A114" s="9">
        <v>45698</v>
      </c>
      <c r="B114" s="7" t="s">
        <v>3</v>
      </c>
      <c r="C114" s="8">
        <v>536</v>
      </c>
      <c r="D114" s="8">
        <v>198</v>
      </c>
      <c r="E114" s="19">
        <f t="shared" si="3"/>
        <v>338</v>
      </c>
      <c r="F114" s="8">
        <v>174610</v>
      </c>
      <c r="G114" s="8">
        <v>7.85</v>
      </c>
      <c r="H114" s="10">
        <v>20572</v>
      </c>
    </row>
    <row r="115" spans="1:8" ht="15.75" customHeight="1">
      <c r="A115" s="9">
        <v>45705</v>
      </c>
      <c r="B115" s="7" t="s">
        <v>1</v>
      </c>
      <c r="C115" s="8">
        <v>819</v>
      </c>
      <c r="D115" s="8">
        <v>95</v>
      </c>
      <c r="E115" s="19">
        <f t="shared" si="3"/>
        <v>724</v>
      </c>
      <c r="F115" s="8">
        <v>177376</v>
      </c>
      <c r="G115" s="8">
        <v>6.12</v>
      </c>
      <c r="H115" s="10">
        <v>14975</v>
      </c>
    </row>
    <row r="116" spans="1:8" ht="15.75" customHeight="1">
      <c r="A116" s="9">
        <v>45705</v>
      </c>
      <c r="B116" s="7" t="s">
        <v>2</v>
      </c>
      <c r="C116" s="8">
        <v>681</v>
      </c>
      <c r="D116" s="8">
        <v>218</v>
      </c>
      <c r="E116" s="19">
        <f t="shared" si="3"/>
        <v>463</v>
      </c>
      <c r="F116" s="8">
        <v>198882</v>
      </c>
      <c r="G116" s="8">
        <v>7.16</v>
      </c>
      <c r="H116" s="10">
        <v>22234</v>
      </c>
    </row>
    <row r="117" spans="1:8" ht="15.75" customHeight="1">
      <c r="A117" s="9">
        <v>45705</v>
      </c>
      <c r="B117" s="7" t="s">
        <v>3</v>
      </c>
      <c r="C117" s="8">
        <v>646</v>
      </c>
      <c r="D117" s="8">
        <v>290</v>
      </c>
      <c r="E117" s="19">
        <f t="shared" si="3"/>
        <v>356</v>
      </c>
      <c r="F117" s="8">
        <v>336383</v>
      </c>
      <c r="G117" s="8">
        <v>7.04</v>
      </c>
      <c r="H117" s="10">
        <v>6532</v>
      </c>
    </row>
    <row r="118" spans="1:8" ht="15.75" customHeight="1">
      <c r="A118" s="9">
        <v>45712</v>
      </c>
      <c r="B118" s="7" t="s">
        <v>1</v>
      </c>
      <c r="C118" s="8">
        <v>645</v>
      </c>
      <c r="D118" s="8">
        <v>267</v>
      </c>
      <c r="E118" s="19">
        <f t="shared" si="3"/>
        <v>378</v>
      </c>
      <c r="F118" s="8">
        <v>346890</v>
      </c>
      <c r="G118" s="8">
        <v>3.71</v>
      </c>
      <c r="H118" s="10">
        <v>24858</v>
      </c>
    </row>
    <row r="119" spans="1:8" ht="15.75" customHeight="1">
      <c r="A119" s="9">
        <v>45712</v>
      </c>
      <c r="B119" s="7" t="s">
        <v>2</v>
      </c>
      <c r="C119" s="8">
        <v>886</v>
      </c>
      <c r="D119" s="8">
        <v>250</v>
      </c>
      <c r="E119" s="19">
        <f t="shared" si="3"/>
        <v>636</v>
      </c>
      <c r="F119" s="8">
        <v>168170</v>
      </c>
      <c r="G119" s="8">
        <v>4.12</v>
      </c>
      <c r="H119" s="10">
        <v>13883</v>
      </c>
    </row>
    <row r="120" spans="1:8" ht="15.75" customHeight="1">
      <c r="A120" s="9">
        <v>45712</v>
      </c>
      <c r="B120" s="7" t="s">
        <v>3</v>
      </c>
      <c r="C120" s="8">
        <v>978</v>
      </c>
      <c r="D120" s="8">
        <v>279</v>
      </c>
      <c r="E120" s="19">
        <f t="shared" si="3"/>
        <v>699</v>
      </c>
      <c r="F120" s="8">
        <v>368872</v>
      </c>
      <c r="G120" s="8">
        <v>6.82</v>
      </c>
      <c r="H120" s="10">
        <v>18654</v>
      </c>
    </row>
    <row r="121" spans="1:8" ht="15.75" customHeight="1">
      <c r="A121" s="9">
        <v>45719</v>
      </c>
      <c r="B121" s="7" t="s">
        <v>1</v>
      </c>
      <c r="C121" s="8">
        <v>1444</v>
      </c>
      <c r="D121" s="8">
        <v>165</v>
      </c>
      <c r="E121" s="19">
        <f t="shared" si="3"/>
        <v>1279</v>
      </c>
      <c r="F121" s="8">
        <v>116436</v>
      </c>
      <c r="G121" s="8">
        <v>8.2200000000000006</v>
      </c>
      <c r="H121" s="10">
        <v>25234</v>
      </c>
    </row>
    <row r="122" spans="1:8" ht="15.75" customHeight="1">
      <c r="A122" s="9">
        <v>45719</v>
      </c>
      <c r="B122" s="7" t="s">
        <v>2</v>
      </c>
      <c r="C122" s="8">
        <v>1234</v>
      </c>
      <c r="D122" s="8">
        <v>228</v>
      </c>
      <c r="E122" s="19">
        <f t="shared" si="3"/>
        <v>1006</v>
      </c>
      <c r="F122" s="8">
        <v>127502</v>
      </c>
      <c r="G122" s="8">
        <v>7.71</v>
      </c>
      <c r="H122" s="10">
        <v>6772</v>
      </c>
    </row>
    <row r="123" spans="1:8" ht="15.75" customHeight="1">
      <c r="A123" s="9">
        <v>45719</v>
      </c>
      <c r="B123" s="7" t="s">
        <v>3</v>
      </c>
      <c r="C123" s="8">
        <v>665</v>
      </c>
      <c r="D123" s="8">
        <v>187</v>
      </c>
      <c r="E123" s="19">
        <f t="shared" si="3"/>
        <v>478</v>
      </c>
      <c r="F123" s="8">
        <v>274567</v>
      </c>
      <c r="G123" s="8">
        <v>7.39</v>
      </c>
      <c r="H123" s="10">
        <v>22428</v>
      </c>
    </row>
    <row r="124" spans="1:8" ht="15.75" customHeight="1">
      <c r="A124" s="9">
        <v>45726</v>
      </c>
      <c r="B124" s="7" t="s">
        <v>1</v>
      </c>
      <c r="C124" s="8">
        <v>631</v>
      </c>
      <c r="D124" s="8">
        <v>86</v>
      </c>
      <c r="E124" s="19">
        <f t="shared" si="3"/>
        <v>545</v>
      </c>
      <c r="F124" s="8">
        <v>295090</v>
      </c>
      <c r="G124" s="8">
        <v>7.89</v>
      </c>
      <c r="H124" s="10">
        <v>11911</v>
      </c>
    </row>
    <row r="125" spans="1:8" ht="15.75" customHeight="1">
      <c r="A125" s="9">
        <v>45726</v>
      </c>
      <c r="B125" s="7" t="s">
        <v>2</v>
      </c>
      <c r="C125" s="8">
        <v>1159</v>
      </c>
      <c r="D125" s="8">
        <v>154</v>
      </c>
      <c r="E125" s="19">
        <f t="shared" si="3"/>
        <v>1005</v>
      </c>
      <c r="F125" s="8">
        <v>194994</v>
      </c>
      <c r="G125" s="8">
        <v>6.39</v>
      </c>
      <c r="H125" s="10">
        <v>21900</v>
      </c>
    </row>
    <row r="126" spans="1:8" ht="15.75" customHeight="1">
      <c r="A126" s="9">
        <v>45726</v>
      </c>
      <c r="B126" s="7" t="s">
        <v>3</v>
      </c>
      <c r="C126" s="8">
        <v>950</v>
      </c>
      <c r="D126" s="8">
        <v>185</v>
      </c>
      <c r="E126" s="19">
        <f t="shared" si="3"/>
        <v>765</v>
      </c>
      <c r="F126" s="8">
        <v>340750</v>
      </c>
      <c r="G126" s="8">
        <v>6.77</v>
      </c>
      <c r="H126" s="10">
        <v>25542</v>
      </c>
    </row>
    <row r="127" spans="1:8" ht="15.75" customHeight="1">
      <c r="A127" s="9">
        <v>45733</v>
      </c>
      <c r="B127" s="7" t="s">
        <v>1</v>
      </c>
      <c r="C127" s="8">
        <v>693</v>
      </c>
      <c r="D127" s="8">
        <v>129</v>
      </c>
      <c r="E127" s="19">
        <f t="shared" si="3"/>
        <v>564</v>
      </c>
      <c r="F127" s="8">
        <v>296031</v>
      </c>
      <c r="G127" s="8">
        <v>3.41</v>
      </c>
      <c r="H127" s="10">
        <v>7140</v>
      </c>
    </row>
    <row r="128" spans="1:8" ht="15.75" customHeight="1">
      <c r="A128" s="9">
        <v>45733</v>
      </c>
      <c r="B128" s="7" t="s">
        <v>2</v>
      </c>
      <c r="C128" s="8">
        <v>576</v>
      </c>
      <c r="D128" s="8">
        <v>80</v>
      </c>
      <c r="E128" s="19">
        <f t="shared" si="3"/>
        <v>496</v>
      </c>
      <c r="F128" s="8">
        <v>345688</v>
      </c>
      <c r="G128" s="8">
        <v>4.1100000000000003</v>
      </c>
      <c r="H128" s="10">
        <v>20474</v>
      </c>
    </row>
    <row r="129" spans="1:8" ht="15.75" customHeight="1">
      <c r="A129" s="9">
        <v>45733</v>
      </c>
      <c r="B129" s="7" t="s">
        <v>3</v>
      </c>
      <c r="C129" s="8">
        <v>1274</v>
      </c>
      <c r="D129" s="8">
        <v>146</v>
      </c>
      <c r="E129" s="19">
        <f t="shared" si="3"/>
        <v>1128</v>
      </c>
      <c r="F129" s="8">
        <v>263488</v>
      </c>
      <c r="G129" s="8">
        <v>9.58</v>
      </c>
      <c r="H129" s="10">
        <v>8698</v>
      </c>
    </row>
    <row r="130" spans="1:8" ht="15.75" customHeight="1">
      <c r="A130" s="9">
        <v>45740</v>
      </c>
      <c r="B130" s="7" t="s">
        <v>1</v>
      </c>
      <c r="C130" s="8">
        <v>818</v>
      </c>
      <c r="D130" s="8">
        <v>253</v>
      </c>
      <c r="E130" s="19">
        <f t="shared" si="3"/>
        <v>565</v>
      </c>
      <c r="F130" s="8">
        <v>184911</v>
      </c>
      <c r="G130" s="8">
        <v>3.39</v>
      </c>
      <c r="H130" s="10">
        <v>10402</v>
      </c>
    </row>
    <row r="131" spans="1:8" ht="15.75" customHeight="1">
      <c r="A131" s="9">
        <v>45740</v>
      </c>
      <c r="B131" s="7" t="s">
        <v>2</v>
      </c>
      <c r="C131" s="8">
        <v>975</v>
      </c>
      <c r="D131" s="8">
        <v>162</v>
      </c>
      <c r="E131" s="19">
        <f t="shared" si="3"/>
        <v>813</v>
      </c>
      <c r="F131" s="8">
        <v>124497</v>
      </c>
      <c r="G131" s="8">
        <v>9.58</v>
      </c>
      <c r="H131" s="10">
        <v>26618</v>
      </c>
    </row>
    <row r="132" spans="1:8" ht="15.75" customHeight="1">
      <c r="A132" s="9">
        <v>45740</v>
      </c>
      <c r="B132" s="7" t="s">
        <v>3</v>
      </c>
      <c r="C132" s="8">
        <v>1398</v>
      </c>
      <c r="D132" s="8">
        <v>97</v>
      </c>
      <c r="E132" s="19">
        <f t="shared" si="3"/>
        <v>1301</v>
      </c>
      <c r="F132" s="8">
        <v>397607</v>
      </c>
      <c r="G132" s="8">
        <v>5.09</v>
      </c>
      <c r="H132" s="10">
        <v>7975</v>
      </c>
    </row>
    <row r="133" spans="1:8" ht="15.75" customHeight="1">
      <c r="A133" s="9">
        <v>45747</v>
      </c>
      <c r="B133" s="7" t="s">
        <v>1</v>
      </c>
      <c r="C133" s="8">
        <v>591</v>
      </c>
      <c r="D133" s="8">
        <v>155</v>
      </c>
      <c r="E133" s="19">
        <f t="shared" ref="E133:E196" si="4">C133-D133</f>
        <v>436</v>
      </c>
      <c r="F133" s="8">
        <v>138521</v>
      </c>
      <c r="G133" s="8">
        <v>7.85</v>
      </c>
      <c r="H133" s="10">
        <v>19054</v>
      </c>
    </row>
    <row r="134" spans="1:8" ht="15.75" customHeight="1">
      <c r="A134" s="9">
        <v>45747</v>
      </c>
      <c r="B134" s="7" t="s">
        <v>2</v>
      </c>
      <c r="C134" s="8">
        <v>1232</v>
      </c>
      <c r="D134" s="8">
        <v>254</v>
      </c>
      <c r="E134" s="19">
        <f t="shared" si="4"/>
        <v>978</v>
      </c>
      <c r="F134" s="8">
        <v>107718</v>
      </c>
      <c r="G134" s="8">
        <v>9.7100000000000009</v>
      </c>
      <c r="H134" s="10">
        <v>13740</v>
      </c>
    </row>
    <row r="135" spans="1:8" ht="15.75" customHeight="1">
      <c r="A135" s="9">
        <v>45747</v>
      </c>
      <c r="B135" s="7" t="s">
        <v>3</v>
      </c>
      <c r="C135" s="8">
        <v>1425</v>
      </c>
      <c r="D135" s="8">
        <v>58</v>
      </c>
      <c r="E135" s="19">
        <f t="shared" si="4"/>
        <v>1367</v>
      </c>
      <c r="F135" s="8">
        <v>202234</v>
      </c>
      <c r="G135" s="8">
        <v>6.67</v>
      </c>
      <c r="H135" s="10">
        <v>18442</v>
      </c>
    </row>
    <row r="136" spans="1:8" ht="15.75" customHeight="1">
      <c r="A136" s="9">
        <v>45754</v>
      </c>
      <c r="B136" s="7" t="s">
        <v>1</v>
      </c>
      <c r="C136" s="8">
        <v>1417</v>
      </c>
      <c r="D136" s="8">
        <v>80</v>
      </c>
      <c r="E136" s="19">
        <f t="shared" si="4"/>
        <v>1337</v>
      </c>
      <c r="F136" s="8">
        <v>340987</v>
      </c>
      <c r="G136" s="8">
        <v>6.13</v>
      </c>
      <c r="H136" s="10">
        <v>10104</v>
      </c>
    </row>
    <row r="137" spans="1:8" ht="15.75" customHeight="1">
      <c r="A137" s="9">
        <v>45754</v>
      </c>
      <c r="B137" s="7" t="s">
        <v>2</v>
      </c>
      <c r="C137" s="8">
        <v>1222</v>
      </c>
      <c r="D137" s="8">
        <v>208</v>
      </c>
      <c r="E137" s="19">
        <f t="shared" si="4"/>
        <v>1014</v>
      </c>
      <c r="F137" s="8">
        <v>340098</v>
      </c>
      <c r="G137" s="8">
        <v>7.34</v>
      </c>
      <c r="H137" s="10">
        <v>21771</v>
      </c>
    </row>
    <row r="138" spans="1:8" ht="15.75" customHeight="1">
      <c r="A138" s="9">
        <v>45754</v>
      </c>
      <c r="B138" s="7" t="s">
        <v>3</v>
      </c>
      <c r="C138" s="8">
        <v>1071</v>
      </c>
      <c r="D138" s="8">
        <v>131</v>
      </c>
      <c r="E138" s="19">
        <f t="shared" si="4"/>
        <v>940</v>
      </c>
      <c r="F138" s="8">
        <v>254727</v>
      </c>
      <c r="G138" s="8">
        <v>6.87</v>
      </c>
      <c r="H138" s="10">
        <v>22191</v>
      </c>
    </row>
    <row r="139" spans="1:8" ht="15.75" customHeight="1">
      <c r="A139" s="9">
        <v>45761</v>
      </c>
      <c r="B139" s="7" t="s">
        <v>1</v>
      </c>
      <c r="C139" s="8">
        <v>772</v>
      </c>
      <c r="D139" s="8">
        <v>82</v>
      </c>
      <c r="E139" s="19">
        <f t="shared" si="4"/>
        <v>690</v>
      </c>
      <c r="F139" s="8">
        <v>345659</v>
      </c>
      <c r="G139" s="8">
        <v>3.52</v>
      </c>
      <c r="H139" s="10">
        <v>27753</v>
      </c>
    </row>
    <row r="140" spans="1:8" ht="15.75" customHeight="1">
      <c r="A140" s="9">
        <v>45761</v>
      </c>
      <c r="B140" s="7" t="s">
        <v>2</v>
      </c>
      <c r="C140" s="8">
        <v>1472</v>
      </c>
      <c r="D140" s="8">
        <v>137</v>
      </c>
      <c r="E140" s="19">
        <f t="shared" si="4"/>
        <v>1335</v>
      </c>
      <c r="F140" s="8">
        <v>213950</v>
      </c>
      <c r="G140" s="8">
        <v>6.96</v>
      </c>
      <c r="H140" s="10">
        <v>23736</v>
      </c>
    </row>
    <row r="141" spans="1:8" ht="15.75" customHeight="1">
      <c r="A141" s="9">
        <v>45761</v>
      </c>
      <c r="B141" s="7" t="s">
        <v>3</v>
      </c>
      <c r="C141" s="8">
        <v>1472</v>
      </c>
      <c r="D141" s="8">
        <v>281</v>
      </c>
      <c r="E141" s="19">
        <f t="shared" si="4"/>
        <v>1191</v>
      </c>
      <c r="F141" s="8">
        <v>258115</v>
      </c>
      <c r="G141" s="8">
        <v>7.23</v>
      </c>
      <c r="H141" s="10">
        <v>27393</v>
      </c>
    </row>
    <row r="142" spans="1:8" ht="15.75" customHeight="1">
      <c r="A142" s="9">
        <v>45768</v>
      </c>
      <c r="B142" s="7" t="s">
        <v>1</v>
      </c>
      <c r="C142" s="8">
        <v>585</v>
      </c>
      <c r="D142" s="8">
        <v>232</v>
      </c>
      <c r="E142" s="19">
        <f t="shared" si="4"/>
        <v>353</v>
      </c>
      <c r="F142" s="8">
        <v>321258</v>
      </c>
      <c r="G142" s="8">
        <v>7.42</v>
      </c>
      <c r="H142" s="10">
        <v>10343</v>
      </c>
    </row>
    <row r="143" spans="1:8" ht="15.75" customHeight="1">
      <c r="A143" s="9">
        <v>45768</v>
      </c>
      <c r="B143" s="7" t="s">
        <v>2</v>
      </c>
      <c r="C143" s="8">
        <v>747</v>
      </c>
      <c r="D143" s="8">
        <v>261</v>
      </c>
      <c r="E143" s="19">
        <f t="shared" si="4"/>
        <v>486</v>
      </c>
      <c r="F143" s="8">
        <v>338650</v>
      </c>
      <c r="G143" s="8">
        <v>7.73</v>
      </c>
      <c r="H143" s="10">
        <v>25259</v>
      </c>
    </row>
    <row r="144" spans="1:8" ht="15.75" customHeight="1">
      <c r="A144" s="9">
        <v>45768</v>
      </c>
      <c r="B144" s="7" t="s">
        <v>3</v>
      </c>
      <c r="C144" s="8">
        <v>1113</v>
      </c>
      <c r="D144" s="8">
        <v>224</v>
      </c>
      <c r="E144" s="19">
        <f t="shared" si="4"/>
        <v>889</v>
      </c>
      <c r="F144" s="8">
        <v>272989</v>
      </c>
      <c r="G144" s="8">
        <v>5.13</v>
      </c>
      <c r="H144" s="10">
        <v>24827</v>
      </c>
    </row>
    <row r="145" spans="1:8" ht="15.75" customHeight="1">
      <c r="A145" s="9">
        <v>45775</v>
      </c>
      <c r="B145" s="7" t="s">
        <v>1</v>
      </c>
      <c r="C145" s="8">
        <v>1100</v>
      </c>
      <c r="D145" s="8">
        <v>117</v>
      </c>
      <c r="E145" s="19">
        <f t="shared" si="4"/>
        <v>983</v>
      </c>
      <c r="F145" s="8">
        <v>260204</v>
      </c>
      <c r="G145" s="8">
        <v>4.4000000000000004</v>
      </c>
      <c r="H145" s="10">
        <v>11908</v>
      </c>
    </row>
    <row r="146" spans="1:8" ht="15.75" customHeight="1">
      <c r="A146" s="9">
        <v>45775</v>
      </c>
      <c r="B146" s="7" t="s">
        <v>2</v>
      </c>
      <c r="C146" s="8">
        <v>751</v>
      </c>
      <c r="D146" s="8">
        <v>170</v>
      </c>
      <c r="E146" s="19">
        <f t="shared" si="4"/>
        <v>581</v>
      </c>
      <c r="F146" s="8">
        <v>283278</v>
      </c>
      <c r="G146" s="8">
        <v>3.49</v>
      </c>
      <c r="H146" s="10">
        <v>11005</v>
      </c>
    </row>
    <row r="147" spans="1:8" ht="15.75" customHeight="1">
      <c r="A147" s="9">
        <v>45775</v>
      </c>
      <c r="B147" s="7" t="s">
        <v>3</v>
      </c>
      <c r="C147" s="8">
        <v>864</v>
      </c>
      <c r="D147" s="8">
        <v>50</v>
      </c>
      <c r="E147" s="19">
        <f t="shared" si="4"/>
        <v>814</v>
      </c>
      <c r="F147" s="8">
        <v>277445</v>
      </c>
      <c r="G147" s="8">
        <v>3.57</v>
      </c>
      <c r="H147" s="10">
        <v>26333</v>
      </c>
    </row>
    <row r="148" spans="1:8" ht="15.75" customHeight="1">
      <c r="A148" s="9">
        <v>45782</v>
      </c>
      <c r="B148" s="7" t="s">
        <v>1</v>
      </c>
      <c r="C148" s="8">
        <v>1146</v>
      </c>
      <c r="D148" s="8">
        <v>227</v>
      </c>
      <c r="E148" s="19">
        <f t="shared" si="4"/>
        <v>919</v>
      </c>
      <c r="F148" s="8">
        <v>353781</v>
      </c>
      <c r="G148" s="8">
        <v>6.41</v>
      </c>
      <c r="H148" s="10">
        <v>5495</v>
      </c>
    </row>
    <row r="149" spans="1:8" ht="15.75" customHeight="1">
      <c r="A149" s="9">
        <v>45782</v>
      </c>
      <c r="B149" s="7" t="s">
        <v>2</v>
      </c>
      <c r="C149" s="8">
        <v>883</v>
      </c>
      <c r="D149" s="8">
        <v>207</v>
      </c>
      <c r="E149" s="19">
        <f t="shared" si="4"/>
        <v>676</v>
      </c>
      <c r="F149" s="8">
        <v>265019</v>
      </c>
      <c r="G149" s="8">
        <v>6.04</v>
      </c>
      <c r="H149" s="10">
        <v>15655</v>
      </c>
    </row>
    <row r="150" spans="1:8" ht="15.75" customHeight="1">
      <c r="A150" s="9">
        <v>45782</v>
      </c>
      <c r="B150" s="7" t="s">
        <v>3</v>
      </c>
      <c r="C150" s="8">
        <v>622</v>
      </c>
      <c r="D150" s="8">
        <v>163</v>
      </c>
      <c r="E150" s="19">
        <f t="shared" si="4"/>
        <v>459</v>
      </c>
      <c r="F150" s="8">
        <v>231925</v>
      </c>
      <c r="G150" s="8">
        <v>9.18</v>
      </c>
      <c r="H150" s="10">
        <v>13763</v>
      </c>
    </row>
    <row r="151" spans="1:8" ht="15.75" customHeight="1">
      <c r="A151" s="9">
        <v>45789</v>
      </c>
      <c r="B151" s="7" t="s">
        <v>1</v>
      </c>
      <c r="C151" s="8">
        <v>837</v>
      </c>
      <c r="D151" s="8">
        <v>261</v>
      </c>
      <c r="E151" s="19">
        <f t="shared" si="4"/>
        <v>576</v>
      </c>
      <c r="F151" s="8">
        <v>366149</v>
      </c>
      <c r="G151" s="8">
        <v>6.54</v>
      </c>
      <c r="H151" s="10">
        <v>26073</v>
      </c>
    </row>
    <row r="152" spans="1:8" ht="15.75" customHeight="1">
      <c r="A152" s="9">
        <v>45789</v>
      </c>
      <c r="B152" s="7" t="s">
        <v>2</v>
      </c>
      <c r="C152" s="8">
        <v>544</v>
      </c>
      <c r="D152" s="8">
        <v>97</v>
      </c>
      <c r="E152" s="19">
        <f t="shared" si="4"/>
        <v>447</v>
      </c>
      <c r="F152" s="8">
        <v>168375</v>
      </c>
      <c r="G152" s="8">
        <v>8.66</v>
      </c>
      <c r="H152" s="10">
        <v>12774</v>
      </c>
    </row>
    <row r="153" spans="1:8" ht="15.75" customHeight="1">
      <c r="A153" s="9">
        <v>45789</v>
      </c>
      <c r="B153" s="7" t="s">
        <v>3</v>
      </c>
      <c r="C153" s="8">
        <v>624</v>
      </c>
      <c r="D153" s="8">
        <v>247</v>
      </c>
      <c r="E153" s="19">
        <f t="shared" si="4"/>
        <v>377</v>
      </c>
      <c r="F153" s="8">
        <v>252763</v>
      </c>
      <c r="G153" s="8">
        <v>3.89</v>
      </c>
      <c r="H153" s="10">
        <v>19000</v>
      </c>
    </row>
    <row r="154" spans="1:8" ht="15.75" customHeight="1">
      <c r="A154" s="9">
        <v>45796</v>
      </c>
      <c r="B154" s="7" t="s">
        <v>1</v>
      </c>
      <c r="C154" s="8">
        <v>1073</v>
      </c>
      <c r="D154" s="8">
        <v>141</v>
      </c>
      <c r="E154" s="19">
        <f t="shared" si="4"/>
        <v>932</v>
      </c>
      <c r="F154" s="8">
        <v>118393</v>
      </c>
      <c r="G154" s="8">
        <v>7.95</v>
      </c>
      <c r="H154" s="10">
        <v>14051</v>
      </c>
    </row>
    <row r="155" spans="1:8" ht="15.75" customHeight="1">
      <c r="A155" s="9">
        <v>45796</v>
      </c>
      <c r="B155" s="7" t="s">
        <v>2</v>
      </c>
      <c r="C155" s="8">
        <v>1430</v>
      </c>
      <c r="D155" s="8">
        <v>74</v>
      </c>
      <c r="E155" s="19">
        <f t="shared" si="4"/>
        <v>1356</v>
      </c>
      <c r="F155" s="8">
        <v>327012</v>
      </c>
      <c r="G155" s="8">
        <v>6.66</v>
      </c>
      <c r="H155" s="10">
        <v>27782</v>
      </c>
    </row>
    <row r="156" spans="1:8" ht="15.75" customHeight="1">
      <c r="A156" s="9">
        <v>45796</v>
      </c>
      <c r="B156" s="7" t="s">
        <v>3</v>
      </c>
      <c r="C156" s="8">
        <v>1358</v>
      </c>
      <c r="D156" s="8">
        <v>77</v>
      </c>
      <c r="E156" s="19">
        <f t="shared" si="4"/>
        <v>1281</v>
      </c>
      <c r="F156" s="8">
        <v>169688</v>
      </c>
      <c r="G156" s="8">
        <v>5.25</v>
      </c>
      <c r="H156" s="10">
        <v>7859</v>
      </c>
    </row>
    <row r="157" spans="1:8" ht="15.75" customHeight="1">
      <c r="A157" s="9">
        <v>45803</v>
      </c>
      <c r="B157" s="7" t="s">
        <v>1</v>
      </c>
      <c r="C157" s="8">
        <v>1242</v>
      </c>
      <c r="D157" s="8">
        <v>201</v>
      </c>
      <c r="E157" s="19">
        <f t="shared" si="4"/>
        <v>1041</v>
      </c>
      <c r="F157" s="8">
        <v>271935</v>
      </c>
      <c r="G157" s="8">
        <v>5.07</v>
      </c>
      <c r="H157" s="10">
        <v>15773</v>
      </c>
    </row>
    <row r="158" spans="1:8" ht="15.75" customHeight="1">
      <c r="A158" s="9">
        <v>45803</v>
      </c>
      <c r="B158" s="7" t="s">
        <v>2</v>
      </c>
      <c r="C158" s="8">
        <v>1389</v>
      </c>
      <c r="D158" s="8">
        <v>205</v>
      </c>
      <c r="E158" s="19">
        <f t="shared" si="4"/>
        <v>1184</v>
      </c>
      <c r="F158" s="8">
        <v>315981</v>
      </c>
      <c r="G158" s="8">
        <v>7.62</v>
      </c>
      <c r="H158" s="10">
        <v>20595</v>
      </c>
    </row>
    <row r="159" spans="1:8" ht="15.75" customHeight="1">
      <c r="A159" s="9">
        <v>45803</v>
      </c>
      <c r="B159" s="7" t="s">
        <v>3</v>
      </c>
      <c r="C159" s="8">
        <v>826</v>
      </c>
      <c r="D159" s="8">
        <v>142</v>
      </c>
      <c r="E159" s="19">
        <f t="shared" si="4"/>
        <v>684</v>
      </c>
      <c r="F159" s="8">
        <v>341016</v>
      </c>
      <c r="G159" s="8">
        <v>7.44</v>
      </c>
      <c r="H159" s="10">
        <v>12031</v>
      </c>
    </row>
    <row r="160" spans="1:8" ht="15.75" customHeight="1">
      <c r="A160" s="9">
        <v>45810</v>
      </c>
      <c r="B160" s="7" t="s">
        <v>1</v>
      </c>
      <c r="C160" s="8">
        <v>618</v>
      </c>
      <c r="D160" s="8">
        <v>264</v>
      </c>
      <c r="E160" s="19">
        <f t="shared" si="4"/>
        <v>354</v>
      </c>
      <c r="F160" s="8">
        <v>285164</v>
      </c>
      <c r="G160" s="8">
        <v>4.8600000000000003</v>
      </c>
      <c r="H160" s="10">
        <v>15128</v>
      </c>
    </row>
    <row r="161" spans="1:8" ht="15.75" customHeight="1">
      <c r="A161" s="9">
        <v>45810</v>
      </c>
      <c r="B161" s="7" t="s">
        <v>2</v>
      </c>
      <c r="C161" s="8">
        <v>1419</v>
      </c>
      <c r="D161" s="8">
        <v>293</v>
      </c>
      <c r="E161" s="19">
        <f t="shared" si="4"/>
        <v>1126</v>
      </c>
      <c r="F161" s="8">
        <v>116632</v>
      </c>
      <c r="G161" s="8">
        <v>6.93</v>
      </c>
      <c r="H161" s="10">
        <v>11826</v>
      </c>
    </row>
    <row r="162" spans="1:8" ht="15.75" customHeight="1">
      <c r="A162" s="9">
        <v>45810</v>
      </c>
      <c r="B162" s="7" t="s">
        <v>3</v>
      </c>
      <c r="C162" s="8">
        <v>637</v>
      </c>
      <c r="D162" s="8">
        <v>68</v>
      </c>
      <c r="E162" s="19">
        <f t="shared" si="4"/>
        <v>569</v>
      </c>
      <c r="F162" s="8">
        <v>115694</v>
      </c>
      <c r="G162" s="8">
        <v>9.99</v>
      </c>
      <c r="H162" s="10">
        <v>12562</v>
      </c>
    </row>
    <row r="163" spans="1:8" ht="15.75" customHeight="1">
      <c r="A163" s="9">
        <v>45817</v>
      </c>
      <c r="B163" s="7" t="s">
        <v>1</v>
      </c>
      <c r="C163" s="8">
        <v>917</v>
      </c>
      <c r="D163" s="8">
        <v>187</v>
      </c>
      <c r="E163" s="19">
        <f t="shared" si="4"/>
        <v>730</v>
      </c>
      <c r="F163" s="8">
        <v>64444</v>
      </c>
      <c r="G163" s="8">
        <v>5.22</v>
      </c>
      <c r="H163" s="10">
        <v>13013</v>
      </c>
    </row>
    <row r="164" spans="1:8" ht="15.75" customHeight="1">
      <c r="A164" s="9">
        <v>45817</v>
      </c>
      <c r="B164" s="7" t="s">
        <v>2</v>
      </c>
      <c r="C164" s="8">
        <v>810</v>
      </c>
      <c r="D164" s="8">
        <v>232</v>
      </c>
      <c r="E164" s="19">
        <f t="shared" si="4"/>
        <v>578</v>
      </c>
      <c r="F164" s="8">
        <v>362559</v>
      </c>
      <c r="G164" s="8">
        <v>5.17</v>
      </c>
      <c r="H164" s="10">
        <v>12937</v>
      </c>
    </row>
    <row r="165" spans="1:8" ht="15.75" customHeight="1">
      <c r="A165" s="9">
        <v>45817</v>
      </c>
      <c r="B165" s="7" t="s">
        <v>3</v>
      </c>
      <c r="C165" s="8">
        <v>1183</v>
      </c>
      <c r="D165" s="8">
        <v>248</v>
      </c>
      <c r="E165" s="19">
        <f t="shared" si="4"/>
        <v>935</v>
      </c>
      <c r="F165" s="8">
        <v>226881</v>
      </c>
      <c r="G165" s="8">
        <v>5.17</v>
      </c>
      <c r="H165" s="10">
        <v>14534</v>
      </c>
    </row>
    <row r="166" spans="1:8" ht="15.75" customHeight="1">
      <c r="A166" s="9">
        <v>45824</v>
      </c>
      <c r="B166" s="7" t="s">
        <v>1</v>
      </c>
      <c r="C166" s="8">
        <v>765</v>
      </c>
      <c r="D166" s="8">
        <v>67</v>
      </c>
      <c r="E166" s="19">
        <f t="shared" si="4"/>
        <v>698</v>
      </c>
      <c r="F166" s="8">
        <v>283537</v>
      </c>
      <c r="G166" s="8">
        <v>6.18</v>
      </c>
      <c r="H166" s="10">
        <v>8182</v>
      </c>
    </row>
    <row r="167" spans="1:8" ht="15.75" customHeight="1">
      <c r="A167" s="9">
        <v>45824</v>
      </c>
      <c r="B167" s="7" t="s">
        <v>2</v>
      </c>
      <c r="C167" s="8">
        <v>540</v>
      </c>
      <c r="D167" s="8">
        <v>215</v>
      </c>
      <c r="E167" s="19">
        <f t="shared" si="4"/>
        <v>325</v>
      </c>
      <c r="F167" s="8">
        <v>62837</v>
      </c>
      <c r="G167" s="8">
        <v>5.3</v>
      </c>
      <c r="H167" s="10">
        <v>10615</v>
      </c>
    </row>
    <row r="168" spans="1:8" ht="15.75" customHeight="1">
      <c r="A168" s="9">
        <v>45824</v>
      </c>
      <c r="B168" s="7" t="s">
        <v>3</v>
      </c>
      <c r="C168" s="8">
        <v>1145</v>
      </c>
      <c r="D168" s="8">
        <v>151</v>
      </c>
      <c r="E168" s="19">
        <f t="shared" si="4"/>
        <v>994</v>
      </c>
      <c r="F168" s="8">
        <v>182759</v>
      </c>
      <c r="G168" s="8">
        <v>5.99</v>
      </c>
      <c r="H168" s="10">
        <v>20109</v>
      </c>
    </row>
    <row r="169" spans="1:8" ht="15.75" customHeight="1">
      <c r="A169" s="9">
        <v>45831</v>
      </c>
      <c r="B169" s="7" t="s">
        <v>1</v>
      </c>
      <c r="C169" s="8">
        <v>564</v>
      </c>
      <c r="D169" s="8">
        <v>244</v>
      </c>
      <c r="E169" s="19">
        <f t="shared" si="4"/>
        <v>320</v>
      </c>
      <c r="F169" s="8">
        <v>279405</v>
      </c>
      <c r="G169" s="8">
        <v>8.43</v>
      </c>
      <c r="H169" s="10">
        <v>26024</v>
      </c>
    </row>
    <row r="170" spans="1:8" ht="15.75" customHeight="1">
      <c r="A170" s="9">
        <v>45831</v>
      </c>
      <c r="B170" s="7" t="s">
        <v>2</v>
      </c>
      <c r="C170" s="8">
        <v>668</v>
      </c>
      <c r="D170" s="8">
        <v>124</v>
      </c>
      <c r="E170" s="19">
        <f t="shared" si="4"/>
        <v>544</v>
      </c>
      <c r="F170" s="8">
        <v>257485</v>
      </c>
      <c r="G170" s="8">
        <v>7.55</v>
      </c>
      <c r="H170" s="10">
        <v>26730</v>
      </c>
    </row>
    <row r="171" spans="1:8" ht="15.75" customHeight="1">
      <c r="A171" s="9">
        <v>45831</v>
      </c>
      <c r="B171" s="7" t="s">
        <v>3</v>
      </c>
      <c r="C171" s="8">
        <v>761</v>
      </c>
      <c r="D171" s="8">
        <v>241</v>
      </c>
      <c r="E171" s="19">
        <f t="shared" si="4"/>
        <v>520</v>
      </c>
      <c r="F171" s="8">
        <v>154977</v>
      </c>
      <c r="G171" s="8">
        <v>5.63</v>
      </c>
      <c r="H171" s="10">
        <v>10563</v>
      </c>
    </row>
    <row r="172" spans="1:8" ht="15.75" customHeight="1">
      <c r="A172" s="9">
        <v>45838</v>
      </c>
      <c r="B172" s="7" t="s">
        <v>1</v>
      </c>
      <c r="C172" s="8">
        <v>593</v>
      </c>
      <c r="D172" s="8">
        <v>108</v>
      </c>
      <c r="E172" s="19">
        <f t="shared" si="4"/>
        <v>485</v>
      </c>
      <c r="F172" s="8">
        <v>216500</v>
      </c>
      <c r="G172" s="8">
        <v>4.71</v>
      </c>
      <c r="H172" s="10">
        <v>27575</v>
      </c>
    </row>
    <row r="173" spans="1:8" ht="15.75" customHeight="1">
      <c r="A173" s="9">
        <v>45838</v>
      </c>
      <c r="B173" s="7" t="s">
        <v>2</v>
      </c>
      <c r="C173" s="8">
        <v>1349</v>
      </c>
      <c r="D173" s="8">
        <v>115</v>
      </c>
      <c r="E173" s="19">
        <f t="shared" si="4"/>
        <v>1234</v>
      </c>
      <c r="F173" s="8">
        <v>102102</v>
      </c>
      <c r="G173" s="8">
        <v>5.28</v>
      </c>
      <c r="H173" s="10">
        <v>14479</v>
      </c>
    </row>
    <row r="174" spans="1:8" ht="15.75" customHeight="1">
      <c r="A174" s="9">
        <v>45838</v>
      </c>
      <c r="B174" s="7" t="s">
        <v>3</v>
      </c>
      <c r="C174" s="8">
        <v>693</v>
      </c>
      <c r="D174" s="8">
        <v>97</v>
      </c>
      <c r="E174" s="19">
        <f t="shared" si="4"/>
        <v>596</v>
      </c>
      <c r="F174" s="8">
        <v>92025</v>
      </c>
      <c r="G174" s="8">
        <v>5.95</v>
      </c>
      <c r="H174" s="10">
        <v>15915</v>
      </c>
    </row>
    <row r="175" spans="1:8" ht="15.75" customHeight="1">
      <c r="A175" s="9">
        <v>45845</v>
      </c>
      <c r="B175" s="7" t="s">
        <v>1</v>
      </c>
      <c r="C175" s="8">
        <v>974</v>
      </c>
      <c r="D175" s="8">
        <v>143</v>
      </c>
      <c r="E175" s="19">
        <f t="shared" si="4"/>
        <v>831</v>
      </c>
      <c r="F175" s="8">
        <v>247965</v>
      </c>
      <c r="G175" s="8">
        <v>9.98</v>
      </c>
      <c r="H175" s="10">
        <v>12767</v>
      </c>
    </row>
    <row r="176" spans="1:8" ht="15.75" customHeight="1">
      <c r="A176" s="9">
        <v>45845</v>
      </c>
      <c r="B176" s="7" t="s">
        <v>2</v>
      </c>
      <c r="C176" s="8">
        <v>1155</v>
      </c>
      <c r="D176" s="8">
        <v>122</v>
      </c>
      <c r="E176" s="19">
        <f t="shared" si="4"/>
        <v>1033</v>
      </c>
      <c r="F176" s="8">
        <v>387352</v>
      </c>
      <c r="G176" s="8">
        <v>9.93</v>
      </c>
      <c r="H176" s="10">
        <v>12170</v>
      </c>
    </row>
    <row r="177" spans="1:8" ht="15.75" customHeight="1">
      <c r="A177" s="9">
        <v>45845</v>
      </c>
      <c r="B177" s="7" t="s">
        <v>3</v>
      </c>
      <c r="C177" s="8">
        <v>1051</v>
      </c>
      <c r="D177" s="8">
        <v>246</v>
      </c>
      <c r="E177" s="19">
        <f t="shared" si="4"/>
        <v>805</v>
      </c>
      <c r="F177" s="8">
        <v>253985</v>
      </c>
      <c r="G177" s="8">
        <v>9.08</v>
      </c>
      <c r="H177" s="10">
        <v>7245</v>
      </c>
    </row>
    <row r="178" spans="1:8" ht="15.75" customHeight="1">
      <c r="A178" s="9">
        <v>45852</v>
      </c>
      <c r="B178" s="7" t="s">
        <v>1</v>
      </c>
      <c r="C178" s="8">
        <v>1457</v>
      </c>
      <c r="D178" s="8">
        <v>183</v>
      </c>
      <c r="E178" s="19">
        <f t="shared" si="4"/>
        <v>1274</v>
      </c>
      <c r="F178" s="8">
        <v>129640</v>
      </c>
      <c r="G178" s="8">
        <v>7.98</v>
      </c>
      <c r="H178" s="10">
        <v>12985</v>
      </c>
    </row>
    <row r="179" spans="1:8" ht="15.75" customHeight="1">
      <c r="A179" s="9">
        <v>45852</v>
      </c>
      <c r="B179" s="7" t="s">
        <v>2</v>
      </c>
      <c r="C179" s="8">
        <v>670</v>
      </c>
      <c r="D179" s="8">
        <v>242</v>
      </c>
      <c r="E179" s="19">
        <f t="shared" si="4"/>
        <v>428</v>
      </c>
      <c r="F179" s="8">
        <v>281913</v>
      </c>
      <c r="G179" s="8">
        <v>9.6199999999999992</v>
      </c>
      <c r="H179" s="10">
        <v>16377</v>
      </c>
    </row>
    <row r="180" spans="1:8" ht="15.75" customHeight="1">
      <c r="A180" s="9">
        <v>45852</v>
      </c>
      <c r="B180" s="7" t="s">
        <v>3</v>
      </c>
      <c r="C180" s="8">
        <v>1111</v>
      </c>
      <c r="D180" s="8">
        <v>159</v>
      </c>
      <c r="E180" s="19">
        <f t="shared" si="4"/>
        <v>952</v>
      </c>
      <c r="F180" s="8">
        <v>360770</v>
      </c>
      <c r="G180" s="8">
        <v>8.7100000000000009</v>
      </c>
      <c r="H180" s="10">
        <v>11453</v>
      </c>
    </row>
    <row r="181" spans="1:8" ht="15.75" customHeight="1">
      <c r="A181" s="9">
        <v>45859</v>
      </c>
      <c r="B181" s="7" t="s">
        <v>1</v>
      </c>
      <c r="C181" s="8">
        <v>1197</v>
      </c>
      <c r="D181" s="8">
        <v>246</v>
      </c>
      <c r="E181" s="19">
        <f t="shared" si="4"/>
        <v>951</v>
      </c>
      <c r="F181" s="8">
        <v>127273</v>
      </c>
      <c r="G181" s="8">
        <v>6.69</v>
      </c>
      <c r="H181" s="10">
        <v>12323</v>
      </c>
    </row>
    <row r="182" spans="1:8" ht="15.75" customHeight="1">
      <c r="A182" s="9">
        <v>45859</v>
      </c>
      <c r="B182" s="7" t="s">
        <v>2</v>
      </c>
      <c r="C182" s="8">
        <v>754</v>
      </c>
      <c r="D182" s="8">
        <v>150</v>
      </c>
      <c r="E182" s="19">
        <f t="shared" si="4"/>
        <v>604</v>
      </c>
      <c r="F182" s="8">
        <v>189622</v>
      </c>
      <c r="G182" s="8">
        <v>4.25</v>
      </c>
      <c r="H182" s="10">
        <v>11911</v>
      </c>
    </row>
    <row r="183" spans="1:8" ht="15.75" customHeight="1">
      <c r="A183" s="9">
        <v>45859</v>
      </c>
      <c r="B183" s="7" t="s">
        <v>3</v>
      </c>
      <c r="C183" s="8">
        <v>1246</v>
      </c>
      <c r="D183" s="8">
        <v>107</v>
      </c>
      <c r="E183" s="19">
        <f t="shared" si="4"/>
        <v>1139</v>
      </c>
      <c r="F183" s="8">
        <v>350949</v>
      </c>
      <c r="G183" s="8">
        <v>4.9800000000000004</v>
      </c>
      <c r="H183" s="10">
        <v>27809</v>
      </c>
    </row>
    <row r="184" spans="1:8" ht="15.75" customHeight="1">
      <c r="A184" s="9">
        <v>45866</v>
      </c>
      <c r="B184" s="7" t="s">
        <v>1</v>
      </c>
      <c r="C184" s="8">
        <v>780</v>
      </c>
      <c r="D184" s="8">
        <v>213</v>
      </c>
      <c r="E184" s="19">
        <f t="shared" si="4"/>
        <v>567</v>
      </c>
      <c r="F184" s="8">
        <v>121431</v>
      </c>
      <c r="G184" s="8">
        <v>4.97</v>
      </c>
      <c r="H184" s="10">
        <v>21464</v>
      </c>
    </row>
    <row r="185" spans="1:8" ht="15.75" customHeight="1">
      <c r="A185" s="9">
        <v>45866</v>
      </c>
      <c r="B185" s="7" t="s">
        <v>2</v>
      </c>
      <c r="C185" s="8">
        <v>1425</v>
      </c>
      <c r="D185" s="8">
        <v>143</v>
      </c>
      <c r="E185" s="19">
        <f t="shared" si="4"/>
        <v>1282</v>
      </c>
      <c r="F185" s="8">
        <v>116742</v>
      </c>
      <c r="G185" s="8">
        <v>3.71</v>
      </c>
      <c r="H185" s="10">
        <v>27126</v>
      </c>
    </row>
    <row r="186" spans="1:8" ht="15.75" customHeight="1">
      <c r="A186" s="9">
        <v>45866</v>
      </c>
      <c r="B186" s="7" t="s">
        <v>3</v>
      </c>
      <c r="C186" s="8">
        <v>1490</v>
      </c>
      <c r="D186" s="8">
        <v>103</v>
      </c>
      <c r="E186" s="19">
        <f t="shared" si="4"/>
        <v>1387</v>
      </c>
      <c r="F186" s="8">
        <v>81184</v>
      </c>
      <c r="G186" s="8">
        <v>7.79</v>
      </c>
      <c r="H186" s="10">
        <v>10681</v>
      </c>
    </row>
    <row r="187" spans="1:8" ht="15.75" customHeight="1">
      <c r="A187" s="9">
        <v>45873</v>
      </c>
      <c r="B187" s="7" t="s">
        <v>1</v>
      </c>
      <c r="C187" s="8">
        <v>949</v>
      </c>
      <c r="D187" s="8">
        <v>282</v>
      </c>
      <c r="E187" s="19">
        <f t="shared" si="4"/>
        <v>667</v>
      </c>
      <c r="F187" s="8">
        <v>87126</v>
      </c>
      <c r="G187" s="8">
        <v>4.96</v>
      </c>
      <c r="H187" s="10">
        <v>5413</v>
      </c>
    </row>
    <row r="188" spans="1:8" ht="15.75" customHeight="1">
      <c r="A188" s="9">
        <v>45873</v>
      </c>
      <c r="B188" s="7" t="s">
        <v>2</v>
      </c>
      <c r="C188" s="8">
        <v>640</v>
      </c>
      <c r="D188" s="8">
        <v>141</v>
      </c>
      <c r="E188" s="19">
        <f t="shared" si="4"/>
        <v>499</v>
      </c>
      <c r="F188" s="8">
        <v>267546</v>
      </c>
      <c r="G188" s="8">
        <v>8.58</v>
      </c>
      <c r="H188" s="10">
        <v>25058</v>
      </c>
    </row>
    <row r="189" spans="1:8" ht="15.75" customHeight="1">
      <c r="A189" s="9">
        <v>45873</v>
      </c>
      <c r="B189" s="7" t="s">
        <v>3</v>
      </c>
      <c r="C189" s="8">
        <v>616</v>
      </c>
      <c r="D189" s="8">
        <v>93</v>
      </c>
      <c r="E189" s="19">
        <f t="shared" si="4"/>
        <v>523</v>
      </c>
      <c r="F189" s="8">
        <v>133082</v>
      </c>
      <c r="G189" s="8">
        <v>8.51</v>
      </c>
      <c r="H189" s="10">
        <v>18303</v>
      </c>
    </row>
    <row r="190" spans="1:8" ht="15.75" customHeight="1">
      <c r="A190" s="9">
        <v>45880</v>
      </c>
      <c r="B190" s="7" t="s">
        <v>1</v>
      </c>
      <c r="C190" s="8">
        <v>1080</v>
      </c>
      <c r="D190" s="8">
        <v>184</v>
      </c>
      <c r="E190" s="19">
        <f t="shared" si="4"/>
        <v>896</v>
      </c>
      <c r="F190" s="8">
        <v>340557</v>
      </c>
      <c r="G190" s="8">
        <v>5.41</v>
      </c>
      <c r="H190" s="10">
        <v>5526</v>
      </c>
    </row>
    <row r="191" spans="1:8" ht="15.75" customHeight="1">
      <c r="A191" s="9">
        <v>45880</v>
      </c>
      <c r="B191" s="7" t="s">
        <v>2</v>
      </c>
      <c r="C191" s="8">
        <v>938</v>
      </c>
      <c r="D191" s="8">
        <v>236</v>
      </c>
      <c r="E191" s="19">
        <f t="shared" si="4"/>
        <v>702</v>
      </c>
      <c r="F191" s="8">
        <v>116472</v>
      </c>
      <c r="G191" s="8">
        <v>8.7200000000000006</v>
      </c>
      <c r="H191" s="10">
        <v>17460</v>
      </c>
    </row>
    <row r="192" spans="1:8" ht="15.75" customHeight="1">
      <c r="A192" s="9">
        <v>45880</v>
      </c>
      <c r="B192" s="7" t="s">
        <v>3</v>
      </c>
      <c r="C192" s="8">
        <v>1007</v>
      </c>
      <c r="D192" s="8">
        <v>258</v>
      </c>
      <c r="E192" s="19">
        <f t="shared" si="4"/>
        <v>749</v>
      </c>
      <c r="F192" s="8">
        <v>113412</v>
      </c>
      <c r="G192" s="8">
        <v>7.71</v>
      </c>
      <c r="H192" s="10">
        <v>14475</v>
      </c>
    </row>
    <row r="193" spans="1:8" ht="15.75" customHeight="1">
      <c r="A193" s="9">
        <v>45887</v>
      </c>
      <c r="B193" s="7" t="s">
        <v>1</v>
      </c>
      <c r="C193" s="8">
        <v>541</v>
      </c>
      <c r="D193" s="8">
        <v>208</v>
      </c>
      <c r="E193" s="19">
        <f t="shared" si="4"/>
        <v>333</v>
      </c>
      <c r="F193" s="8">
        <v>157547</v>
      </c>
      <c r="G193" s="8">
        <v>8.35</v>
      </c>
      <c r="H193" s="10">
        <v>20162</v>
      </c>
    </row>
    <row r="194" spans="1:8" ht="15.75" customHeight="1">
      <c r="A194" s="9">
        <v>45887</v>
      </c>
      <c r="B194" s="7" t="s">
        <v>2</v>
      </c>
      <c r="C194" s="8">
        <v>745</v>
      </c>
      <c r="D194" s="8">
        <v>98</v>
      </c>
      <c r="E194" s="19">
        <f t="shared" si="4"/>
        <v>647</v>
      </c>
      <c r="F194" s="8">
        <v>354816</v>
      </c>
      <c r="G194" s="8">
        <v>4.03</v>
      </c>
      <c r="H194" s="10">
        <v>17103</v>
      </c>
    </row>
    <row r="195" spans="1:8" ht="15.75" customHeight="1">
      <c r="A195" s="9">
        <v>45887</v>
      </c>
      <c r="B195" s="7" t="s">
        <v>3</v>
      </c>
      <c r="C195" s="8">
        <v>936</v>
      </c>
      <c r="D195" s="8">
        <v>97</v>
      </c>
      <c r="E195" s="19">
        <f t="shared" si="4"/>
        <v>839</v>
      </c>
      <c r="F195" s="8">
        <v>151799</v>
      </c>
      <c r="G195" s="8">
        <v>9.3699999999999992</v>
      </c>
      <c r="H195" s="10">
        <v>15461</v>
      </c>
    </row>
    <row r="196" spans="1:8" ht="15.75" customHeight="1">
      <c r="A196" s="9">
        <v>45894</v>
      </c>
      <c r="B196" s="7" t="s">
        <v>1</v>
      </c>
      <c r="C196" s="8">
        <v>1183</v>
      </c>
      <c r="D196" s="8">
        <v>223</v>
      </c>
      <c r="E196" s="19">
        <f t="shared" si="4"/>
        <v>960</v>
      </c>
      <c r="F196" s="8">
        <v>143811</v>
      </c>
      <c r="G196" s="8">
        <v>6.07</v>
      </c>
      <c r="H196" s="10">
        <v>22103</v>
      </c>
    </row>
    <row r="197" spans="1:8" ht="15.75" customHeight="1">
      <c r="A197" s="9">
        <v>45894</v>
      </c>
      <c r="B197" s="7" t="s">
        <v>2</v>
      </c>
      <c r="C197" s="8">
        <v>1413</v>
      </c>
      <c r="D197" s="8">
        <v>245</v>
      </c>
      <c r="E197" s="19">
        <f t="shared" ref="E197:E202" si="5">C197-D197</f>
        <v>1168</v>
      </c>
      <c r="F197" s="8">
        <v>296450</v>
      </c>
      <c r="G197" s="8">
        <v>6.52</v>
      </c>
      <c r="H197" s="10">
        <v>11625</v>
      </c>
    </row>
    <row r="198" spans="1:8" ht="15.75" customHeight="1">
      <c r="A198" s="9">
        <v>45894</v>
      </c>
      <c r="B198" s="7" t="s">
        <v>3</v>
      </c>
      <c r="C198" s="8">
        <v>791</v>
      </c>
      <c r="D198" s="8">
        <v>273</v>
      </c>
      <c r="E198" s="19">
        <f t="shared" si="5"/>
        <v>518</v>
      </c>
      <c r="F198" s="8">
        <v>144049</v>
      </c>
      <c r="G198" s="8">
        <v>3.08</v>
      </c>
      <c r="H198" s="10">
        <v>5281</v>
      </c>
    </row>
    <row r="199" spans="1:8" ht="15.75" customHeight="1">
      <c r="A199" s="9">
        <v>45901</v>
      </c>
      <c r="B199" s="7" t="s">
        <v>1</v>
      </c>
      <c r="C199" s="8">
        <v>1052</v>
      </c>
      <c r="D199" s="8">
        <v>180</v>
      </c>
      <c r="E199" s="19">
        <f t="shared" si="5"/>
        <v>872</v>
      </c>
      <c r="F199" s="8">
        <v>272534</v>
      </c>
      <c r="G199" s="8">
        <v>5.34</v>
      </c>
      <c r="H199" s="10">
        <v>13424</v>
      </c>
    </row>
    <row r="200" spans="1:8" ht="15.75" customHeight="1">
      <c r="A200" s="9">
        <v>45901</v>
      </c>
      <c r="B200" s="7" t="s">
        <v>2</v>
      </c>
      <c r="C200" s="8">
        <v>572</v>
      </c>
      <c r="D200" s="8">
        <v>270</v>
      </c>
      <c r="E200" s="19">
        <f t="shared" si="5"/>
        <v>302</v>
      </c>
      <c r="F200" s="8">
        <v>82265</v>
      </c>
      <c r="G200" s="8">
        <v>3.65</v>
      </c>
      <c r="H200" s="10">
        <v>13140</v>
      </c>
    </row>
    <row r="201" spans="1:8" ht="15.75" customHeight="1">
      <c r="A201" s="9">
        <v>45901</v>
      </c>
      <c r="B201" s="7" t="s">
        <v>3</v>
      </c>
      <c r="C201" s="8">
        <v>503</v>
      </c>
      <c r="D201" s="8">
        <v>253</v>
      </c>
      <c r="E201" s="19">
        <f t="shared" si="5"/>
        <v>250</v>
      </c>
      <c r="F201" s="8">
        <v>313562</v>
      </c>
      <c r="G201" s="8">
        <v>4.18</v>
      </c>
      <c r="H201" s="10">
        <v>19538</v>
      </c>
    </row>
    <row r="202" spans="1:8" ht="15.75" customHeight="1">
      <c r="A202" s="9">
        <v>45908</v>
      </c>
      <c r="B202" s="7" t="s">
        <v>1</v>
      </c>
      <c r="C202" s="8">
        <v>1017</v>
      </c>
      <c r="D202" s="8">
        <v>197</v>
      </c>
      <c r="E202" s="19">
        <f t="shared" si="5"/>
        <v>820</v>
      </c>
      <c r="F202" s="8">
        <v>89918</v>
      </c>
      <c r="G202" s="8">
        <v>3.91</v>
      </c>
      <c r="H202" s="10">
        <v>7881</v>
      </c>
    </row>
    <row r="203" spans="1:8" ht="15.75" customHeight="1">
      <c r="A203" s="14">
        <v>45908</v>
      </c>
      <c r="B203" s="15" t="s">
        <v>2</v>
      </c>
      <c r="C203" s="16">
        <v>860</v>
      </c>
      <c r="D203" s="16">
        <v>244</v>
      </c>
      <c r="E203" s="20">
        <f>C203-D203</f>
        <v>616</v>
      </c>
      <c r="F203" s="16">
        <v>348686</v>
      </c>
      <c r="G203" s="16">
        <v>5.12</v>
      </c>
      <c r="H203" s="17">
        <v>11418</v>
      </c>
    </row>
    <row r="204" spans="1:8" ht="15.75" customHeight="1">
      <c r="E204" s="21"/>
    </row>
    <row r="205" spans="1:8" ht="15.75" customHeight="1">
      <c r="E205" s="21"/>
    </row>
    <row r="206" spans="1:8" ht="15.75" customHeight="1">
      <c r="E206" s="21"/>
    </row>
    <row r="207" spans="1:8" ht="15.75" customHeight="1">
      <c r="E207" s="21"/>
    </row>
    <row r="208" spans="1:8" ht="15.75" customHeight="1">
      <c r="E208" s="21"/>
    </row>
    <row r="209" spans="5:5" ht="15.75" customHeight="1">
      <c r="E209" s="21"/>
    </row>
    <row r="210" spans="5:5" ht="15.75" customHeight="1">
      <c r="E210" s="21"/>
    </row>
    <row r="211" spans="5:5" ht="15.75" customHeight="1">
      <c r="E211" s="21"/>
    </row>
    <row r="212" spans="5:5" ht="15.75" customHeight="1">
      <c r="E212" s="21"/>
    </row>
    <row r="213" spans="5:5" ht="15.75" customHeight="1">
      <c r="E213" s="21"/>
    </row>
    <row r="214" spans="5:5" ht="15.75" customHeight="1">
      <c r="E214" s="21"/>
    </row>
    <row r="215" spans="5:5" ht="15.75" customHeight="1">
      <c r="E215" s="21"/>
    </row>
    <row r="216" spans="5:5" ht="15.75" customHeight="1">
      <c r="E216" s="21"/>
    </row>
    <row r="217" spans="5:5" ht="15.75" customHeight="1">
      <c r="E217" s="21"/>
    </row>
    <row r="218" spans="5:5" ht="15.75" customHeight="1">
      <c r="E218" s="21"/>
    </row>
    <row r="219" spans="5:5" ht="15.75" customHeight="1">
      <c r="E219" s="21"/>
    </row>
    <row r="220" spans="5:5" ht="15.75" customHeight="1">
      <c r="E220" s="21"/>
    </row>
    <row r="221" spans="5:5" ht="15.75" customHeight="1">
      <c r="E221" s="21"/>
    </row>
    <row r="222" spans="5:5" ht="15.75" customHeight="1">
      <c r="E222" s="21"/>
    </row>
    <row r="223" spans="5:5" ht="15.75" customHeight="1">
      <c r="E223" s="21"/>
    </row>
    <row r="224" spans="5:5" ht="15.75" customHeight="1">
      <c r="E224" s="21"/>
    </row>
    <row r="225" spans="5:5" ht="15.75" customHeight="1">
      <c r="E225" s="21"/>
    </row>
    <row r="226" spans="5:5" ht="15.75" customHeight="1">
      <c r="E226" s="21"/>
    </row>
    <row r="227" spans="5:5" ht="15.75" customHeight="1">
      <c r="E227" s="21"/>
    </row>
    <row r="228" spans="5:5" ht="15.75" customHeight="1">
      <c r="E228" s="21"/>
    </row>
    <row r="229" spans="5:5" ht="15.75" customHeight="1">
      <c r="E229" s="21"/>
    </row>
    <row r="230" spans="5:5" ht="15.75" customHeight="1">
      <c r="E230" s="21"/>
    </row>
    <row r="231" spans="5:5" ht="15.75" customHeight="1">
      <c r="E231" s="21"/>
    </row>
    <row r="232" spans="5:5" ht="15.75" customHeight="1">
      <c r="E232" s="21"/>
    </row>
    <row r="233" spans="5:5" ht="15.75" customHeight="1">
      <c r="E233" s="21"/>
    </row>
    <row r="234" spans="5:5" ht="15.75" customHeight="1">
      <c r="E234" s="21"/>
    </row>
    <row r="235" spans="5:5" ht="15.75" customHeight="1">
      <c r="E235" s="21"/>
    </row>
    <row r="236" spans="5:5" ht="15.75" customHeight="1">
      <c r="E236" s="21"/>
    </row>
    <row r="237" spans="5:5" ht="15.75" customHeight="1">
      <c r="E237" s="21"/>
    </row>
    <row r="238" spans="5:5" ht="15.75" customHeight="1">
      <c r="E238" s="21"/>
    </row>
    <row r="239" spans="5:5" ht="15.75" customHeight="1">
      <c r="E239" s="21"/>
    </row>
    <row r="240" spans="5:5" ht="15.75" customHeight="1">
      <c r="E240" s="21"/>
    </row>
    <row r="241" spans="5:5" ht="15.75" customHeight="1">
      <c r="E241" s="21"/>
    </row>
    <row r="242" spans="5:5" ht="15.75" customHeight="1">
      <c r="E242" s="21"/>
    </row>
    <row r="243" spans="5:5" ht="15.75" customHeight="1">
      <c r="E243" s="21"/>
    </row>
    <row r="244" spans="5:5" ht="15.75" customHeight="1">
      <c r="E244" s="21"/>
    </row>
    <row r="245" spans="5:5" ht="15.75" customHeight="1">
      <c r="E245" s="21"/>
    </row>
    <row r="246" spans="5:5" ht="15.75" customHeight="1">
      <c r="E246" s="21"/>
    </row>
    <row r="247" spans="5:5" ht="15.75" customHeight="1">
      <c r="E247" s="21"/>
    </row>
    <row r="248" spans="5:5" ht="15.75" customHeight="1">
      <c r="E248" s="21"/>
    </row>
    <row r="249" spans="5:5" ht="15.75" customHeight="1">
      <c r="E249" s="21"/>
    </row>
    <row r="250" spans="5:5" ht="15.75" customHeight="1">
      <c r="E250" s="21"/>
    </row>
    <row r="251" spans="5:5" ht="15.75" customHeight="1">
      <c r="E251" s="21"/>
    </row>
    <row r="252" spans="5:5" ht="15.75" customHeight="1">
      <c r="E252" s="21"/>
    </row>
    <row r="253" spans="5:5" ht="15.75" customHeight="1">
      <c r="E253" s="21"/>
    </row>
    <row r="254" spans="5:5" ht="15.75" customHeight="1">
      <c r="E254" s="21"/>
    </row>
    <row r="255" spans="5:5" ht="15.75" customHeight="1">
      <c r="E255" s="21"/>
    </row>
    <row r="256" spans="5:5" ht="15.75" customHeight="1">
      <c r="E256" s="21"/>
    </row>
    <row r="257" spans="5:5" ht="15.75" customHeight="1">
      <c r="E257" s="21"/>
    </row>
    <row r="258" spans="5:5" ht="15.75" customHeight="1">
      <c r="E258" s="21"/>
    </row>
    <row r="259" spans="5:5" ht="15.75" customHeight="1">
      <c r="E259" s="21"/>
    </row>
    <row r="260" spans="5:5" ht="15.75" customHeight="1">
      <c r="E260" s="21"/>
    </row>
    <row r="261" spans="5:5" ht="15.75" customHeight="1">
      <c r="E261" s="21"/>
    </row>
    <row r="262" spans="5:5" ht="15.75" customHeight="1">
      <c r="E262" s="21"/>
    </row>
    <row r="263" spans="5:5" ht="15.75" customHeight="1">
      <c r="E263" s="21"/>
    </row>
    <row r="264" spans="5:5" ht="15.75" customHeight="1">
      <c r="E264" s="21"/>
    </row>
    <row r="265" spans="5:5" ht="15.75" customHeight="1">
      <c r="E265" s="21"/>
    </row>
    <row r="266" spans="5:5" ht="15.75" customHeight="1">
      <c r="E266" s="21"/>
    </row>
    <row r="267" spans="5:5" ht="15.75" customHeight="1">
      <c r="E267" s="21"/>
    </row>
    <row r="268" spans="5:5" ht="15.75" customHeight="1">
      <c r="E268" s="21"/>
    </row>
    <row r="269" spans="5:5" ht="15.75" customHeight="1">
      <c r="E269" s="21"/>
    </row>
    <row r="270" spans="5:5" ht="15.75" customHeight="1">
      <c r="E270" s="21"/>
    </row>
    <row r="271" spans="5:5" ht="15.75" customHeight="1">
      <c r="E271" s="21"/>
    </row>
    <row r="272" spans="5:5" ht="15.75" customHeight="1">
      <c r="E272" s="21"/>
    </row>
    <row r="273" spans="5:5" ht="15.75" customHeight="1">
      <c r="E273" s="21"/>
    </row>
    <row r="274" spans="5:5" ht="15.75" customHeight="1">
      <c r="E274" s="21"/>
    </row>
    <row r="275" spans="5:5" ht="15.75" customHeight="1">
      <c r="E275" s="21"/>
    </row>
    <row r="276" spans="5:5" ht="15.75" customHeight="1">
      <c r="E276" s="21"/>
    </row>
    <row r="277" spans="5:5" ht="15.75" customHeight="1">
      <c r="E277" s="21"/>
    </row>
    <row r="278" spans="5:5" ht="15.75" customHeight="1">
      <c r="E278" s="21"/>
    </row>
    <row r="279" spans="5:5" ht="15.75" customHeight="1">
      <c r="E279" s="21"/>
    </row>
    <row r="280" spans="5:5" ht="15.75" customHeight="1">
      <c r="E280" s="21"/>
    </row>
    <row r="281" spans="5:5" ht="15.75" customHeight="1">
      <c r="E281" s="21"/>
    </row>
    <row r="282" spans="5:5" ht="15.75" customHeight="1">
      <c r="E282" s="21"/>
    </row>
    <row r="283" spans="5:5" ht="15.75" customHeight="1">
      <c r="E283" s="21"/>
    </row>
    <row r="284" spans="5:5" ht="15.75" customHeight="1">
      <c r="E284" s="21"/>
    </row>
    <row r="285" spans="5:5" ht="15.75" customHeight="1">
      <c r="E285" s="21"/>
    </row>
    <row r="286" spans="5:5" ht="15.75" customHeight="1">
      <c r="E286" s="21"/>
    </row>
    <row r="287" spans="5:5" ht="15.75" customHeight="1">
      <c r="E287" s="21"/>
    </row>
    <row r="288" spans="5:5" ht="15.75" customHeight="1">
      <c r="E288" s="21"/>
    </row>
    <row r="289" spans="5:5" ht="15.75" customHeight="1">
      <c r="E289" s="21"/>
    </row>
    <row r="290" spans="5:5" ht="15.75" customHeight="1">
      <c r="E290" s="21"/>
    </row>
    <row r="291" spans="5:5" ht="15.75" customHeight="1">
      <c r="E291" s="21"/>
    </row>
    <row r="292" spans="5:5" ht="15.75" customHeight="1">
      <c r="E292" s="21"/>
    </row>
    <row r="293" spans="5:5" ht="15.75" customHeight="1">
      <c r="E293" s="21"/>
    </row>
    <row r="294" spans="5:5" ht="15.75" customHeight="1">
      <c r="E294" s="21"/>
    </row>
    <row r="295" spans="5:5" ht="15.75" customHeight="1">
      <c r="E295" s="21"/>
    </row>
    <row r="296" spans="5:5" ht="15.75" customHeight="1">
      <c r="E296" s="21"/>
    </row>
    <row r="297" spans="5:5" ht="15.75" customHeight="1">
      <c r="E297" s="21"/>
    </row>
    <row r="298" spans="5:5" ht="15.75" customHeight="1">
      <c r="E298" s="21"/>
    </row>
    <row r="299" spans="5:5" ht="15.75" customHeight="1">
      <c r="E299" s="21"/>
    </row>
    <row r="300" spans="5:5" ht="15.75" customHeight="1">
      <c r="E300" s="21"/>
    </row>
    <row r="301" spans="5:5" ht="15.75" customHeight="1">
      <c r="E301" s="21"/>
    </row>
    <row r="302" spans="5:5" ht="15.75" customHeight="1">
      <c r="E302" s="21"/>
    </row>
    <row r="303" spans="5:5" ht="15.75" customHeight="1">
      <c r="E303" s="21"/>
    </row>
    <row r="304" spans="5:5" ht="15.75" customHeight="1">
      <c r="E304" s="21"/>
    </row>
    <row r="305" spans="5:5" ht="15.75" customHeight="1">
      <c r="E305" s="21"/>
    </row>
    <row r="306" spans="5:5" ht="15.75" customHeight="1">
      <c r="E306" s="21"/>
    </row>
    <row r="307" spans="5:5" ht="15.75" customHeight="1">
      <c r="E307" s="21"/>
    </row>
    <row r="308" spans="5:5" ht="15.75" customHeight="1">
      <c r="E308" s="21"/>
    </row>
    <row r="309" spans="5:5" ht="15.75" customHeight="1">
      <c r="E309" s="21"/>
    </row>
    <row r="310" spans="5:5" ht="15.75" customHeight="1">
      <c r="E310" s="21"/>
    </row>
    <row r="311" spans="5:5" ht="15.75" customHeight="1">
      <c r="E311" s="21"/>
    </row>
    <row r="312" spans="5:5" ht="15.75" customHeight="1">
      <c r="E312" s="21"/>
    </row>
    <row r="313" spans="5:5" ht="15.75" customHeight="1">
      <c r="E313" s="21"/>
    </row>
    <row r="314" spans="5:5" ht="15.75" customHeight="1">
      <c r="E314" s="21"/>
    </row>
    <row r="315" spans="5:5" ht="15.75" customHeight="1">
      <c r="E315" s="21"/>
    </row>
    <row r="316" spans="5:5" ht="15.75" customHeight="1">
      <c r="E316" s="21"/>
    </row>
    <row r="317" spans="5:5" ht="15.75" customHeight="1">
      <c r="E317" s="21"/>
    </row>
    <row r="318" spans="5:5" ht="15.75" customHeight="1">
      <c r="E318" s="21"/>
    </row>
    <row r="319" spans="5:5" ht="15.75" customHeight="1">
      <c r="E319" s="21"/>
    </row>
    <row r="320" spans="5:5" ht="15.75" customHeight="1">
      <c r="E320" s="21"/>
    </row>
    <row r="321" spans="5:5" ht="15.75" customHeight="1">
      <c r="E321" s="21"/>
    </row>
    <row r="322" spans="5:5" ht="15.75" customHeight="1">
      <c r="E322" s="21"/>
    </row>
    <row r="323" spans="5:5" ht="15.75" customHeight="1">
      <c r="E323" s="21"/>
    </row>
    <row r="324" spans="5:5" ht="15.75" customHeight="1">
      <c r="E324" s="21"/>
    </row>
    <row r="325" spans="5:5" ht="15.75" customHeight="1">
      <c r="E325" s="21"/>
    </row>
    <row r="326" spans="5:5" ht="15.75" customHeight="1">
      <c r="E326" s="21"/>
    </row>
    <row r="327" spans="5:5" ht="15.75" customHeight="1">
      <c r="E327" s="21"/>
    </row>
    <row r="328" spans="5:5" ht="15.75" customHeight="1">
      <c r="E328" s="21"/>
    </row>
    <row r="329" spans="5:5" ht="15.75" customHeight="1">
      <c r="E329" s="21"/>
    </row>
    <row r="330" spans="5:5" ht="15.75" customHeight="1">
      <c r="E330" s="21"/>
    </row>
    <row r="331" spans="5:5" ht="15.75" customHeight="1">
      <c r="E331" s="21"/>
    </row>
    <row r="332" spans="5:5" ht="15.75" customHeight="1">
      <c r="E332" s="21"/>
    </row>
    <row r="333" spans="5:5" ht="15.75" customHeight="1">
      <c r="E333" s="21"/>
    </row>
    <row r="334" spans="5:5" ht="15.75" customHeight="1">
      <c r="E334" s="21"/>
    </row>
    <row r="335" spans="5:5" ht="15.75" customHeight="1">
      <c r="E335" s="21"/>
    </row>
    <row r="336" spans="5:5" ht="15.75" customHeight="1">
      <c r="E336" s="21"/>
    </row>
    <row r="337" spans="5:5" ht="15.75" customHeight="1">
      <c r="E337" s="21"/>
    </row>
    <row r="338" spans="5:5" ht="15.75" customHeight="1">
      <c r="E338" s="21"/>
    </row>
    <row r="339" spans="5:5" ht="15.75" customHeight="1">
      <c r="E339" s="21"/>
    </row>
    <row r="340" spans="5:5" ht="15.75" customHeight="1">
      <c r="E340" s="21"/>
    </row>
    <row r="341" spans="5:5" ht="15.75" customHeight="1">
      <c r="E341" s="21"/>
    </row>
    <row r="342" spans="5:5" ht="15.75" customHeight="1">
      <c r="E342" s="21"/>
    </row>
    <row r="343" spans="5:5" ht="15.75" customHeight="1">
      <c r="E343" s="21"/>
    </row>
    <row r="344" spans="5:5" ht="15.75" customHeight="1">
      <c r="E344" s="21"/>
    </row>
    <row r="345" spans="5:5" ht="15.75" customHeight="1">
      <c r="E345" s="21"/>
    </row>
    <row r="346" spans="5:5" ht="15.75" customHeight="1">
      <c r="E346" s="21"/>
    </row>
    <row r="347" spans="5:5" ht="15.75" customHeight="1">
      <c r="E347" s="21"/>
    </row>
    <row r="348" spans="5:5" ht="15.75" customHeight="1">
      <c r="E348" s="21"/>
    </row>
    <row r="349" spans="5:5" ht="15.75" customHeight="1">
      <c r="E349" s="21"/>
    </row>
    <row r="350" spans="5:5" ht="15.75" customHeight="1">
      <c r="E350" s="21"/>
    </row>
    <row r="351" spans="5:5" ht="15.75" customHeight="1">
      <c r="E351" s="21"/>
    </row>
    <row r="352" spans="5:5" ht="15.75" customHeight="1">
      <c r="E352" s="21"/>
    </row>
    <row r="353" spans="5:5" ht="15.75" customHeight="1">
      <c r="E353" s="21"/>
    </row>
    <row r="354" spans="5:5" ht="15.75" customHeight="1">
      <c r="E354" s="21"/>
    </row>
    <row r="355" spans="5:5" ht="15.75" customHeight="1">
      <c r="E355" s="21"/>
    </row>
    <row r="356" spans="5:5" ht="15.75" customHeight="1">
      <c r="E356" s="21"/>
    </row>
    <row r="357" spans="5:5" ht="15.75" customHeight="1">
      <c r="E357" s="21"/>
    </row>
    <row r="358" spans="5:5" ht="15.75" customHeight="1">
      <c r="E358" s="21"/>
    </row>
    <row r="359" spans="5:5" ht="15.75" customHeight="1">
      <c r="E359" s="21"/>
    </row>
    <row r="360" spans="5:5" ht="15.75" customHeight="1">
      <c r="E360" s="21"/>
    </row>
    <row r="361" spans="5:5" ht="15.75" customHeight="1">
      <c r="E361" s="21"/>
    </row>
    <row r="362" spans="5:5" ht="15.75" customHeight="1">
      <c r="E362" s="21"/>
    </row>
    <row r="363" spans="5:5" ht="15.75" customHeight="1">
      <c r="E363" s="21"/>
    </row>
    <row r="364" spans="5:5" ht="15.75" customHeight="1">
      <c r="E364" s="21"/>
    </row>
    <row r="365" spans="5:5" ht="15.75" customHeight="1">
      <c r="E365" s="21"/>
    </row>
    <row r="366" spans="5:5" ht="15.75" customHeight="1">
      <c r="E366" s="21"/>
    </row>
    <row r="367" spans="5:5" ht="15.75" customHeight="1">
      <c r="E367" s="21"/>
    </row>
    <row r="368" spans="5:5" ht="15.75" customHeight="1">
      <c r="E368" s="21"/>
    </row>
    <row r="369" spans="5:5" ht="15.75" customHeight="1">
      <c r="E369" s="21"/>
    </row>
    <row r="370" spans="5:5" ht="15.75" customHeight="1">
      <c r="E370" s="21"/>
    </row>
    <row r="371" spans="5:5" ht="15.75" customHeight="1">
      <c r="E371" s="21"/>
    </row>
    <row r="372" spans="5:5" ht="15.75" customHeight="1">
      <c r="E372" s="21"/>
    </row>
    <row r="373" spans="5:5" ht="15.75" customHeight="1">
      <c r="E373" s="21"/>
    </row>
    <row r="374" spans="5:5" ht="15.75" customHeight="1">
      <c r="E374" s="21"/>
    </row>
    <row r="375" spans="5:5" ht="15.75" customHeight="1">
      <c r="E375" s="21"/>
    </row>
    <row r="376" spans="5:5" ht="15.75" customHeight="1">
      <c r="E376" s="21"/>
    </row>
    <row r="377" spans="5:5" ht="15.75" customHeight="1">
      <c r="E377" s="21"/>
    </row>
    <row r="378" spans="5:5" ht="15.75" customHeight="1">
      <c r="E378" s="21"/>
    </row>
    <row r="379" spans="5:5" ht="15.75" customHeight="1">
      <c r="E379" s="21"/>
    </row>
    <row r="380" spans="5:5" ht="15.75" customHeight="1">
      <c r="E380" s="21"/>
    </row>
    <row r="381" spans="5:5" ht="15.75" customHeight="1">
      <c r="E381" s="21"/>
    </row>
    <row r="382" spans="5:5" ht="15.75" customHeight="1">
      <c r="E382" s="21"/>
    </row>
    <row r="383" spans="5:5" ht="15.75" customHeight="1">
      <c r="E383" s="21"/>
    </row>
    <row r="384" spans="5:5" ht="15.75" customHeight="1">
      <c r="E384" s="21"/>
    </row>
    <row r="385" spans="5:5" ht="15.75" customHeight="1">
      <c r="E385" s="21"/>
    </row>
    <row r="386" spans="5:5" ht="15.75" customHeight="1">
      <c r="E386" s="21"/>
    </row>
    <row r="387" spans="5:5" ht="15.75" customHeight="1">
      <c r="E387" s="21"/>
    </row>
    <row r="388" spans="5:5" ht="15.75" customHeight="1">
      <c r="E388" s="21"/>
    </row>
    <row r="389" spans="5:5" ht="15.75" customHeight="1">
      <c r="E389" s="21"/>
    </row>
    <row r="390" spans="5:5" ht="15.75" customHeight="1">
      <c r="E390" s="21"/>
    </row>
    <row r="391" spans="5:5" ht="15.75" customHeight="1">
      <c r="E391" s="21"/>
    </row>
    <row r="392" spans="5:5" ht="15.75" customHeight="1">
      <c r="E392" s="21"/>
    </row>
    <row r="393" spans="5:5" ht="15.75" customHeight="1">
      <c r="E393" s="21"/>
    </row>
    <row r="394" spans="5:5" ht="15.75" customHeight="1">
      <c r="E394" s="21"/>
    </row>
    <row r="395" spans="5:5" ht="15.75" customHeight="1">
      <c r="E395" s="21"/>
    </row>
    <row r="396" spans="5:5" ht="15.75" customHeight="1">
      <c r="E396" s="21"/>
    </row>
    <row r="397" spans="5:5" ht="15.75" customHeight="1">
      <c r="E397" s="21"/>
    </row>
    <row r="398" spans="5:5" ht="15.75" customHeight="1">
      <c r="E398" s="21"/>
    </row>
    <row r="399" spans="5:5" ht="15.75" customHeight="1">
      <c r="E399" s="21"/>
    </row>
    <row r="400" spans="5:5" ht="15.75" customHeight="1">
      <c r="E400" s="21"/>
    </row>
    <row r="401" spans="5:5" ht="15.75" customHeight="1">
      <c r="E401" s="21"/>
    </row>
    <row r="402" spans="5:5" ht="15.75" customHeight="1">
      <c r="E402" s="21"/>
    </row>
    <row r="403" spans="5:5" ht="15.75" customHeight="1">
      <c r="E403" s="21"/>
    </row>
    <row r="404" spans="5:5" ht="15.75" customHeight="1">
      <c r="E404" s="21"/>
    </row>
    <row r="405" spans="5:5" ht="15.75" customHeight="1">
      <c r="E405" s="21"/>
    </row>
    <row r="406" spans="5:5" ht="15.75" customHeight="1">
      <c r="E406" s="21"/>
    </row>
    <row r="407" spans="5:5" ht="15.75" customHeight="1">
      <c r="E407" s="21"/>
    </row>
    <row r="408" spans="5:5" ht="15.75" customHeight="1">
      <c r="E408" s="21"/>
    </row>
    <row r="409" spans="5:5" ht="15.75" customHeight="1">
      <c r="E409" s="21"/>
    </row>
    <row r="410" spans="5:5" ht="15.75" customHeight="1">
      <c r="E410" s="21"/>
    </row>
    <row r="411" spans="5:5" ht="15.75" customHeight="1">
      <c r="E411" s="21"/>
    </row>
    <row r="412" spans="5:5" ht="15.75" customHeight="1">
      <c r="E412" s="21"/>
    </row>
    <row r="413" spans="5:5" ht="15.75" customHeight="1">
      <c r="E413" s="21"/>
    </row>
    <row r="414" spans="5:5" ht="15.75" customHeight="1">
      <c r="E414" s="21"/>
    </row>
    <row r="415" spans="5:5" ht="15.75" customHeight="1">
      <c r="E415" s="21"/>
    </row>
    <row r="416" spans="5:5" ht="15.75" customHeight="1">
      <c r="E416" s="21"/>
    </row>
    <row r="417" spans="5:5" ht="15.75" customHeight="1">
      <c r="E417" s="21"/>
    </row>
    <row r="418" spans="5:5" ht="15.75" customHeight="1">
      <c r="E418" s="21"/>
    </row>
    <row r="419" spans="5:5" ht="15.75" customHeight="1">
      <c r="E419" s="21"/>
    </row>
    <row r="420" spans="5:5" ht="15.75" customHeight="1">
      <c r="E420" s="21"/>
    </row>
    <row r="421" spans="5:5" ht="15.75" customHeight="1">
      <c r="E421" s="21"/>
    </row>
    <row r="422" spans="5:5" ht="15.75" customHeight="1">
      <c r="E422" s="21"/>
    </row>
    <row r="423" spans="5:5" ht="15.75" customHeight="1">
      <c r="E423" s="21"/>
    </row>
    <row r="424" spans="5:5" ht="15.75" customHeight="1">
      <c r="E424" s="21"/>
    </row>
    <row r="425" spans="5:5" ht="15.75" customHeight="1">
      <c r="E425" s="21"/>
    </row>
    <row r="426" spans="5:5" ht="15.75" customHeight="1">
      <c r="E426" s="21"/>
    </row>
    <row r="427" spans="5:5" ht="15.75" customHeight="1">
      <c r="E427" s="21"/>
    </row>
    <row r="428" spans="5:5" ht="15.75" customHeight="1">
      <c r="E428" s="21"/>
    </row>
    <row r="429" spans="5:5" ht="15.75" customHeight="1">
      <c r="E429" s="21"/>
    </row>
    <row r="430" spans="5:5" ht="15.75" customHeight="1">
      <c r="E430" s="21"/>
    </row>
    <row r="431" spans="5:5" ht="15.75" customHeight="1">
      <c r="E431" s="21"/>
    </row>
    <row r="432" spans="5:5" ht="15.75" customHeight="1">
      <c r="E432" s="21"/>
    </row>
    <row r="433" spans="5:5" ht="15.75" customHeight="1">
      <c r="E433" s="21"/>
    </row>
    <row r="434" spans="5:5" ht="15.75" customHeight="1">
      <c r="E434" s="21"/>
    </row>
    <row r="435" spans="5:5" ht="15.75" customHeight="1">
      <c r="E435" s="21"/>
    </row>
    <row r="436" spans="5:5" ht="15.75" customHeight="1">
      <c r="E436" s="21"/>
    </row>
    <row r="437" spans="5:5" ht="15.75" customHeight="1">
      <c r="E437" s="21"/>
    </row>
    <row r="438" spans="5:5" ht="15.75" customHeight="1">
      <c r="E438" s="21"/>
    </row>
    <row r="439" spans="5:5" ht="15.75" customHeight="1">
      <c r="E439" s="21"/>
    </row>
    <row r="440" spans="5:5" ht="15.75" customHeight="1">
      <c r="E440" s="21"/>
    </row>
    <row r="441" spans="5:5" ht="15.75" customHeight="1">
      <c r="E441" s="21"/>
    </row>
    <row r="442" spans="5:5" ht="15.75" customHeight="1">
      <c r="E442" s="21"/>
    </row>
    <row r="443" spans="5:5" ht="15.75" customHeight="1">
      <c r="E443" s="21"/>
    </row>
    <row r="444" spans="5:5" ht="15.75" customHeight="1">
      <c r="E444" s="21"/>
    </row>
    <row r="445" spans="5:5" ht="15.75" customHeight="1">
      <c r="E445" s="21"/>
    </row>
    <row r="446" spans="5:5" ht="15.75" customHeight="1">
      <c r="E446" s="21"/>
    </row>
    <row r="447" spans="5:5" ht="15.75" customHeight="1">
      <c r="E447" s="21"/>
    </row>
    <row r="448" spans="5:5" ht="15.75" customHeight="1">
      <c r="E448" s="21"/>
    </row>
    <row r="449" spans="5:5" ht="15.75" customHeight="1">
      <c r="E449" s="21"/>
    </row>
    <row r="450" spans="5:5" ht="15.75" customHeight="1">
      <c r="E450" s="21"/>
    </row>
    <row r="451" spans="5:5" ht="15.75" customHeight="1">
      <c r="E451" s="21"/>
    </row>
    <row r="452" spans="5:5" ht="15.75" customHeight="1">
      <c r="E452" s="21"/>
    </row>
    <row r="453" spans="5:5" ht="15.75" customHeight="1">
      <c r="E453" s="21"/>
    </row>
    <row r="454" spans="5:5" ht="15.75" customHeight="1">
      <c r="E454" s="21"/>
    </row>
    <row r="455" spans="5:5" ht="15.75" customHeight="1">
      <c r="E455" s="21"/>
    </row>
    <row r="456" spans="5:5" ht="15.75" customHeight="1">
      <c r="E456" s="21"/>
    </row>
    <row r="457" spans="5:5" ht="15.75" customHeight="1">
      <c r="E457" s="21"/>
    </row>
    <row r="458" spans="5:5" ht="15.75" customHeight="1">
      <c r="E458" s="21"/>
    </row>
    <row r="459" spans="5:5" ht="15.75" customHeight="1">
      <c r="E459" s="21"/>
    </row>
    <row r="460" spans="5:5" ht="15.75" customHeight="1">
      <c r="E460" s="21"/>
    </row>
    <row r="461" spans="5:5" ht="15.75" customHeight="1">
      <c r="E461" s="21"/>
    </row>
    <row r="462" spans="5:5" ht="15.75" customHeight="1">
      <c r="E462" s="21"/>
    </row>
    <row r="463" spans="5:5" ht="15.75" customHeight="1">
      <c r="E463" s="21"/>
    </row>
    <row r="464" spans="5:5" ht="15.75" customHeight="1">
      <c r="E464" s="21"/>
    </row>
    <row r="465" spans="5:5" ht="15.75" customHeight="1">
      <c r="E465" s="21"/>
    </row>
    <row r="466" spans="5:5" ht="15.75" customHeight="1">
      <c r="E466" s="21"/>
    </row>
    <row r="467" spans="5:5" ht="15.75" customHeight="1">
      <c r="E467" s="21"/>
    </row>
    <row r="468" spans="5:5" ht="15.75" customHeight="1">
      <c r="E468" s="21"/>
    </row>
    <row r="469" spans="5:5" ht="15.75" customHeight="1">
      <c r="E469" s="21"/>
    </row>
    <row r="470" spans="5:5" ht="15.75" customHeight="1">
      <c r="E470" s="21"/>
    </row>
    <row r="471" spans="5:5" ht="15.75" customHeight="1">
      <c r="E471" s="21"/>
    </row>
    <row r="472" spans="5:5" ht="15.75" customHeight="1">
      <c r="E472" s="21"/>
    </row>
    <row r="473" spans="5:5" ht="15.75" customHeight="1">
      <c r="E473" s="21"/>
    </row>
    <row r="474" spans="5:5" ht="15.75" customHeight="1">
      <c r="E474" s="21"/>
    </row>
    <row r="475" spans="5:5" ht="15.75" customHeight="1">
      <c r="E475" s="21"/>
    </row>
    <row r="476" spans="5:5" ht="15.75" customHeight="1">
      <c r="E476" s="21"/>
    </row>
    <row r="477" spans="5:5" ht="15.75" customHeight="1">
      <c r="E477" s="21"/>
    </row>
    <row r="478" spans="5:5" ht="15.75" customHeight="1">
      <c r="E478" s="21"/>
    </row>
    <row r="479" spans="5:5" ht="15.75" customHeight="1">
      <c r="E479" s="21"/>
    </row>
    <row r="480" spans="5:5" ht="15.75" customHeight="1">
      <c r="E480" s="21"/>
    </row>
    <row r="481" spans="5:5" ht="15.75" customHeight="1">
      <c r="E481" s="21"/>
    </row>
    <row r="482" spans="5:5" ht="15.75" customHeight="1">
      <c r="E482" s="21"/>
    </row>
    <row r="483" spans="5:5" ht="15.75" customHeight="1">
      <c r="E483" s="21"/>
    </row>
    <row r="484" spans="5:5" ht="15.75" customHeight="1">
      <c r="E484" s="21"/>
    </row>
    <row r="485" spans="5:5" ht="15.75" customHeight="1">
      <c r="E485" s="21"/>
    </row>
    <row r="486" spans="5:5" ht="15.75" customHeight="1">
      <c r="E486" s="21"/>
    </row>
    <row r="487" spans="5:5" ht="15.75" customHeight="1">
      <c r="E487" s="21"/>
    </row>
    <row r="488" spans="5:5" ht="15.75" customHeight="1">
      <c r="E488" s="21"/>
    </row>
    <row r="489" spans="5:5" ht="15.75" customHeight="1">
      <c r="E489" s="21"/>
    </row>
    <row r="490" spans="5:5" ht="15.75" customHeight="1">
      <c r="E490" s="21"/>
    </row>
    <row r="491" spans="5:5" ht="15.75" customHeight="1">
      <c r="E491" s="21"/>
    </row>
    <row r="492" spans="5:5" ht="15.75" customHeight="1">
      <c r="E492" s="21"/>
    </row>
    <row r="493" spans="5:5" ht="15.75" customHeight="1">
      <c r="E493" s="21"/>
    </row>
    <row r="494" spans="5:5" ht="15.75" customHeight="1">
      <c r="E494" s="21"/>
    </row>
    <row r="495" spans="5:5" ht="15.75" customHeight="1">
      <c r="E495" s="21"/>
    </row>
    <row r="496" spans="5:5" ht="15.75" customHeight="1">
      <c r="E496" s="21"/>
    </row>
    <row r="497" spans="5:5" ht="15.75" customHeight="1">
      <c r="E497" s="21"/>
    </row>
    <row r="498" spans="5:5" ht="15.75" customHeight="1">
      <c r="E498" s="21"/>
    </row>
    <row r="499" spans="5:5" ht="15.75" customHeight="1">
      <c r="E499" s="21"/>
    </row>
    <row r="500" spans="5:5" ht="15.75" customHeight="1">
      <c r="E500" s="21"/>
    </row>
    <row r="501" spans="5:5" ht="15.75" customHeight="1">
      <c r="E501" s="21"/>
    </row>
    <row r="502" spans="5:5" ht="15.75" customHeight="1">
      <c r="E502" s="21"/>
    </row>
    <row r="503" spans="5:5" ht="15.75" customHeight="1">
      <c r="E503" s="21"/>
    </row>
    <row r="504" spans="5:5" ht="15.75" customHeight="1">
      <c r="E504" s="21"/>
    </row>
    <row r="505" spans="5:5" ht="15.75" customHeight="1">
      <c r="E505" s="21"/>
    </row>
    <row r="506" spans="5:5" ht="15.75" customHeight="1">
      <c r="E506" s="21"/>
    </row>
    <row r="507" spans="5:5" ht="15.75" customHeight="1">
      <c r="E507" s="21"/>
    </row>
    <row r="508" spans="5:5" ht="15.75" customHeight="1">
      <c r="E508" s="21"/>
    </row>
    <row r="509" spans="5:5" ht="15.75" customHeight="1">
      <c r="E509" s="21"/>
    </row>
    <row r="510" spans="5:5" ht="15.75" customHeight="1">
      <c r="E510" s="21"/>
    </row>
    <row r="511" spans="5:5" ht="15.75" customHeight="1">
      <c r="E511" s="21"/>
    </row>
    <row r="512" spans="5:5" ht="15.75" customHeight="1">
      <c r="E512" s="21"/>
    </row>
    <row r="513" spans="5:5" ht="15.75" customHeight="1">
      <c r="E513" s="21"/>
    </row>
    <row r="514" spans="5:5" ht="15.75" customHeight="1">
      <c r="E514" s="21"/>
    </row>
    <row r="515" spans="5:5" ht="15.75" customHeight="1">
      <c r="E515" s="21"/>
    </row>
    <row r="516" spans="5:5" ht="15.75" customHeight="1">
      <c r="E516" s="21"/>
    </row>
    <row r="517" spans="5:5" ht="15.75" customHeight="1">
      <c r="E517" s="21"/>
    </row>
    <row r="518" spans="5:5" ht="15.75" customHeight="1">
      <c r="E518" s="21"/>
    </row>
    <row r="519" spans="5:5" ht="15.75" customHeight="1">
      <c r="E519" s="21"/>
    </row>
    <row r="520" spans="5:5" ht="15.75" customHeight="1">
      <c r="E520" s="21"/>
    </row>
    <row r="521" spans="5:5" ht="15.75" customHeight="1">
      <c r="E521" s="21"/>
    </row>
    <row r="522" spans="5:5" ht="15.75" customHeight="1">
      <c r="E522" s="21"/>
    </row>
    <row r="523" spans="5:5" ht="15.75" customHeight="1">
      <c r="E523" s="21"/>
    </row>
    <row r="524" spans="5:5" ht="15.75" customHeight="1">
      <c r="E524" s="21"/>
    </row>
    <row r="525" spans="5:5" ht="15.75" customHeight="1">
      <c r="E525" s="21"/>
    </row>
    <row r="526" spans="5:5" ht="15.75" customHeight="1">
      <c r="E526" s="21"/>
    </row>
    <row r="527" spans="5:5" ht="15.75" customHeight="1">
      <c r="E527" s="21"/>
    </row>
    <row r="528" spans="5:5" ht="15.75" customHeight="1">
      <c r="E528" s="21"/>
    </row>
    <row r="529" spans="5:5" ht="15.75" customHeight="1">
      <c r="E529" s="21"/>
    </row>
    <row r="530" spans="5:5" ht="15.75" customHeight="1">
      <c r="E530" s="21"/>
    </row>
    <row r="531" spans="5:5" ht="15.75" customHeight="1">
      <c r="E531" s="21"/>
    </row>
    <row r="532" spans="5:5" ht="15.75" customHeight="1">
      <c r="E532" s="21"/>
    </row>
    <row r="533" spans="5:5" ht="15.75" customHeight="1">
      <c r="E533" s="21"/>
    </row>
    <row r="534" spans="5:5" ht="15.75" customHeight="1">
      <c r="E534" s="21"/>
    </row>
    <row r="535" spans="5:5" ht="15.75" customHeight="1">
      <c r="E535" s="21"/>
    </row>
    <row r="536" spans="5:5" ht="15.75" customHeight="1">
      <c r="E536" s="21"/>
    </row>
    <row r="537" spans="5:5" ht="15.75" customHeight="1">
      <c r="E537" s="21"/>
    </row>
    <row r="538" spans="5:5" ht="15.75" customHeight="1">
      <c r="E538" s="21"/>
    </row>
    <row r="539" spans="5:5" ht="15.75" customHeight="1">
      <c r="E539" s="21"/>
    </row>
    <row r="540" spans="5:5" ht="15.75" customHeight="1">
      <c r="E540" s="21"/>
    </row>
    <row r="541" spans="5:5" ht="15.75" customHeight="1">
      <c r="E541" s="21"/>
    </row>
    <row r="542" spans="5:5" ht="15.75" customHeight="1">
      <c r="E542" s="21"/>
    </row>
    <row r="543" spans="5:5" ht="15.75" customHeight="1">
      <c r="E543" s="21"/>
    </row>
    <row r="544" spans="5:5" ht="15.75" customHeight="1">
      <c r="E544" s="21"/>
    </row>
    <row r="545" spans="5:5" ht="15.75" customHeight="1">
      <c r="E545" s="21"/>
    </row>
    <row r="546" spans="5:5" ht="15.75" customHeight="1">
      <c r="E546" s="21"/>
    </row>
    <row r="547" spans="5:5" ht="15.75" customHeight="1">
      <c r="E547" s="21"/>
    </row>
    <row r="548" spans="5:5" ht="15.75" customHeight="1">
      <c r="E548" s="21"/>
    </row>
    <row r="549" spans="5:5" ht="15.75" customHeight="1">
      <c r="E549" s="21"/>
    </row>
    <row r="550" spans="5:5" ht="15.75" customHeight="1">
      <c r="E550" s="21"/>
    </row>
    <row r="551" spans="5:5" ht="15.75" customHeight="1">
      <c r="E551" s="21"/>
    </row>
    <row r="552" spans="5:5" ht="15.75" customHeight="1">
      <c r="E552" s="21"/>
    </row>
    <row r="553" spans="5:5" ht="15.75" customHeight="1">
      <c r="E553" s="21"/>
    </row>
    <row r="554" spans="5:5" ht="15.75" customHeight="1">
      <c r="E554" s="21"/>
    </row>
    <row r="555" spans="5:5" ht="15.75" customHeight="1">
      <c r="E555" s="21"/>
    </row>
    <row r="556" spans="5:5" ht="15.75" customHeight="1">
      <c r="E556" s="21"/>
    </row>
    <row r="557" spans="5:5" ht="15.75" customHeight="1">
      <c r="E557" s="21"/>
    </row>
    <row r="558" spans="5:5" ht="15.75" customHeight="1">
      <c r="E558" s="21"/>
    </row>
    <row r="559" spans="5:5" ht="15.75" customHeight="1">
      <c r="E559" s="21"/>
    </row>
    <row r="560" spans="5:5" ht="15.75" customHeight="1">
      <c r="E560" s="21"/>
    </row>
    <row r="561" spans="5:5" ht="15.75" customHeight="1">
      <c r="E561" s="21"/>
    </row>
    <row r="562" spans="5:5" ht="15.75" customHeight="1">
      <c r="E562" s="21"/>
    </row>
    <row r="563" spans="5:5" ht="15.75" customHeight="1">
      <c r="E563" s="21"/>
    </row>
    <row r="564" spans="5:5" ht="15.75" customHeight="1">
      <c r="E564" s="21"/>
    </row>
    <row r="565" spans="5:5" ht="15.75" customHeight="1">
      <c r="E565" s="21"/>
    </row>
    <row r="566" spans="5:5" ht="15.75" customHeight="1">
      <c r="E566" s="21"/>
    </row>
    <row r="567" spans="5:5" ht="15.75" customHeight="1">
      <c r="E567" s="21"/>
    </row>
    <row r="568" spans="5:5" ht="15.75" customHeight="1">
      <c r="E568" s="21"/>
    </row>
    <row r="569" spans="5:5" ht="15.75" customHeight="1">
      <c r="E569" s="21"/>
    </row>
    <row r="570" spans="5:5" ht="15.75" customHeight="1">
      <c r="E570" s="21"/>
    </row>
    <row r="571" spans="5:5" ht="15.75" customHeight="1">
      <c r="E571" s="21"/>
    </row>
    <row r="572" spans="5:5" ht="15.75" customHeight="1">
      <c r="E572" s="21"/>
    </row>
    <row r="573" spans="5:5" ht="15.75" customHeight="1">
      <c r="E573" s="21"/>
    </row>
    <row r="574" spans="5:5" ht="15.75" customHeight="1">
      <c r="E574" s="21"/>
    </row>
    <row r="575" spans="5:5" ht="15.75" customHeight="1">
      <c r="E575" s="21"/>
    </row>
    <row r="576" spans="5:5" ht="15.75" customHeight="1">
      <c r="E576" s="21"/>
    </row>
    <row r="577" spans="5:5" ht="15.75" customHeight="1">
      <c r="E577" s="21"/>
    </row>
    <row r="578" spans="5:5" ht="15.75" customHeight="1">
      <c r="E578" s="21"/>
    </row>
    <row r="579" spans="5:5" ht="15.75" customHeight="1">
      <c r="E579" s="21"/>
    </row>
    <row r="580" spans="5:5" ht="15.75" customHeight="1">
      <c r="E580" s="21"/>
    </row>
    <row r="581" spans="5:5" ht="15.75" customHeight="1">
      <c r="E581" s="21"/>
    </row>
    <row r="582" spans="5:5" ht="15.75" customHeight="1">
      <c r="E582" s="21"/>
    </row>
    <row r="583" spans="5:5" ht="15.75" customHeight="1">
      <c r="E583" s="21"/>
    </row>
    <row r="584" spans="5:5" ht="15.75" customHeight="1">
      <c r="E584" s="21"/>
    </row>
    <row r="585" spans="5:5" ht="15.75" customHeight="1">
      <c r="E585" s="21"/>
    </row>
    <row r="586" spans="5:5" ht="15.75" customHeight="1">
      <c r="E586" s="21"/>
    </row>
    <row r="587" spans="5:5" ht="15.75" customHeight="1">
      <c r="E587" s="21"/>
    </row>
    <row r="588" spans="5:5" ht="15.75" customHeight="1">
      <c r="E588" s="21"/>
    </row>
    <row r="589" spans="5:5" ht="15.75" customHeight="1">
      <c r="E589" s="21"/>
    </row>
    <row r="590" spans="5:5" ht="15.75" customHeight="1">
      <c r="E590" s="21"/>
    </row>
    <row r="591" spans="5:5" ht="15.75" customHeight="1">
      <c r="E591" s="21"/>
    </row>
    <row r="592" spans="5:5" ht="15.75" customHeight="1">
      <c r="E592" s="21"/>
    </row>
    <row r="593" spans="5:5" ht="15.75" customHeight="1">
      <c r="E593" s="21"/>
    </row>
    <row r="594" spans="5:5" ht="15.75" customHeight="1">
      <c r="E594" s="21"/>
    </row>
    <row r="595" spans="5:5" ht="15.75" customHeight="1">
      <c r="E595" s="21"/>
    </row>
    <row r="596" spans="5:5" ht="15.75" customHeight="1">
      <c r="E596" s="21"/>
    </row>
    <row r="597" spans="5:5" ht="15.75" customHeight="1">
      <c r="E597" s="21"/>
    </row>
    <row r="598" spans="5:5" ht="15.75" customHeight="1">
      <c r="E598" s="21"/>
    </row>
    <row r="599" spans="5:5" ht="15.75" customHeight="1">
      <c r="E599" s="21"/>
    </row>
    <row r="600" spans="5:5" ht="15.75" customHeight="1">
      <c r="E600" s="21"/>
    </row>
    <row r="601" spans="5:5" ht="15.75" customHeight="1">
      <c r="E601" s="21"/>
    </row>
    <row r="602" spans="5:5" ht="15.75" customHeight="1">
      <c r="E602" s="21"/>
    </row>
    <row r="603" spans="5:5" ht="15.75" customHeight="1">
      <c r="E603" s="21"/>
    </row>
    <row r="604" spans="5:5" ht="15.75" customHeight="1">
      <c r="E604" s="21"/>
    </row>
    <row r="605" spans="5:5" ht="15.75" customHeight="1">
      <c r="E605" s="21"/>
    </row>
    <row r="606" spans="5:5" ht="15.75" customHeight="1">
      <c r="E606" s="21"/>
    </row>
    <row r="607" spans="5:5" ht="15.75" customHeight="1">
      <c r="E607" s="21"/>
    </row>
    <row r="608" spans="5:5" ht="15.75" customHeight="1">
      <c r="E608" s="21"/>
    </row>
    <row r="609" spans="5:5" ht="15.75" customHeight="1">
      <c r="E609" s="21"/>
    </row>
    <row r="610" spans="5:5" ht="15.75" customHeight="1">
      <c r="E610" s="21"/>
    </row>
    <row r="611" spans="5:5" ht="15.75" customHeight="1">
      <c r="E611" s="21"/>
    </row>
    <row r="612" spans="5:5" ht="15.75" customHeight="1">
      <c r="E612" s="21"/>
    </row>
    <row r="613" spans="5:5" ht="15.75" customHeight="1">
      <c r="E613" s="21"/>
    </row>
    <row r="614" spans="5:5" ht="15.75" customHeight="1">
      <c r="E614" s="21"/>
    </row>
    <row r="615" spans="5:5" ht="15.75" customHeight="1">
      <c r="E615" s="21"/>
    </row>
    <row r="616" spans="5:5" ht="15.75" customHeight="1">
      <c r="E616" s="21"/>
    </row>
    <row r="617" spans="5:5" ht="15.75" customHeight="1">
      <c r="E617" s="21"/>
    </row>
    <row r="618" spans="5:5" ht="15.75" customHeight="1">
      <c r="E618" s="21"/>
    </row>
    <row r="619" spans="5:5" ht="15.75" customHeight="1">
      <c r="E619" s="21"/>
    </row>
    <row r="620" spans="5:5" ht="15.75" customHeight="1">
      <c r="E620" s="21"/>
    </row>
    <row r="621" spans="5:5" ht="15.75" customHeight="1">
      <c r="E621" s="21"/>
    </row>
    <row r="622" spans="5:5" ht="15.75" customHeight="1">
      <c r="E622" s="21"/>
    </row>
    <row r="623" spans="5:5" ht="15.75" customHeight="1">
      <c r="E623" s="21"/>
    </row>
    <row r="624" spans="5:5" ht="15.75" customHeight="1">
      <c r="E624" s="21"/>
    </row>
    <row r="625" spans="5:5" ht="15.75" customHeight="1">
      <c r="E625" s="21"/>
    </row>
    <row r="626" spans="5:5" ht="15.75" customHeight="1">
      <c r="E626" s="21"/>
    </row>
    <row r="627" spans="5:5" ht="15.75" customHeight="1">
      <c r="E627" s="21"/>
    </row>
    <row r="628" spans="5:5" ht="15.75" customHeight="1">
      <c r="E628" s="21"/>
    </row>
    <row r="629" spans="5:5" ht="15.75" customHeight="1">
      <c r="E629" s="21"/>
    </row>
    <row r="630" spans="5:5" ht="15.75" customHeight="1">
      <c r="E630" s="21"/>
    </row>
    <row r="631" spans="5:5" ht="15.75" customHeight="1">
      <c r="E631" s="21"/>
    </row>
    <row r="632" spans="5:5" ht="15.75" customHeight="1">
      <c r="E632" s="21"/>
    </row>
    <row r="633" spans="5:5" ht="15.75" customHeight="1">
      <c r="E633" s="21"/>
    </row>
    <row r="634" spans="5:5" ht="15.75" customHeight="1">
      <c r="E634" s="21"/>
    </row>
    <row r="635" spans="5:5" ht="15.75" customHeight="1">
      <c r="E635" s="21"/>
    </row>
    <row r="636" spans="5:5" ht="15.75" customHeight="1">
      <c r="E636" s="21"/>
    </row>
    <row r="637" spans="5:5" ht="15.75" customHeight="1">
      <c r="E637" s="21"/>
    </row>
    <row r="638" spans="5:5" ht="15.75" customHeight="1">
      <c r="E638" s="21"/>
    </row>
    <row r="639" spans="5:5" ht="15.75" customHeight="1">
      <c r="E639" s="21"/>
    </row>
    <row r="640" spans="5:5" ht="15.75" customHeight="1">
      <c r="E640" s="21"/>
    </row>
    <row r="641" spans="5:5" ht="15.75" customHeight="1">
      <c r="E641" s="21"/>
    </row>
    <row r="642" spans="5:5" ht="15.75" customHeight="1">
      <c r="E642" s="21"/>
    </row>
    <row r="643" spans="5:5" ht="15.75" customHeight="1">
      <c r="E643" s="21"/>
    </row>
    <row r="644" spans="5:5" ht="15.75" customHeight="1">
      <c r="E644" s="21"/>
    </row>
    <row r="645" spans="5:5" ht="15.75" customHeight="1">
      <c r="E645" s="21"/>
    </row>
    <row r="646" spans="5:5" ht="15.75" customHeight="1">
      <c r="E646" s="21"/>
    </row>
    <row r="647" spans="5:5" ht="15.75" customHeight="1">
      <c r="E647" s="21"/>
    </row>
    <row r="648" spans="5:5" ht="15.75" customHeight="1">
      <c r="E648" s="21"/>
    </row>
    <row r="649" spans="5:5" ht="15.75" customHeight="1">
      <c r="E649" s="21"/>
    </row>
    <row r="650" spans="5:5" ht="15.75" customHeight="1">
      <c r="E650" s="21"/>
    </row>
    <row r="651" spans="5:5" ht="15.75" customHeight="1">
      <c r="E651" s="21"/>
    </row>
    <row r="652" spans="5:5" ht="15.75" customHeight="1">
      <c r="E652" s="21"/>
    </row>
    <row r="653" spans="5:5" ht="15.75" customHeight="1">
      <c r="E653" s="21"/>
    </row>
    <row r="654" spans="5:5" ht="15.75" customHeight="1">
      <c r="E654" s="21"/>
    </row>
    <row r="655" spans="5:5" ht="15.75" customHeight="1">
      <c r="E655" s="21"/>
    </row>
    <row r="656" spans="5:5" ht="15.75" customHeight="1">
      <c r="E656" s="21"/>
    </row>
    <row r="657" spans="5:5" ht="15.75" customHeight="1">
      <c r="E657" s="21"/>
    </row>
    <row r="658" spans="5:5" ht="15.75" customHeight="1">
      <c r="E658" s="21"/>
    </row>
    <row r="659" spans="5:5" ht="15.75" customHeight="1">
      <c r="E659" s="21"/>
    </row>
    <row r="660" spans="5:5" ht="15.75" customHeight="1">
      <c r="E660" s="21"/>
    </row>
    <row r="661" spans="5:5" ht="15.75" customHeight="1">
      <c r="E661" s="21"/>
    </row>
    <row r="662" spans="5:5" ht="15.75" customHeight="1">
      <c r="E662" s="21"/>
    </row>
    <row r="663" spans="5:5" ht="15.75" customHeight="1">
      <c r="E663" s="21"/>
    </row>
    <row r="664" spans="5:5" ht="15.75" customHeight="1">
      <c r="E664" s="21"/>
    </row>
    <row r="665" spans="5:5" ht="15.75" customHeight="1">
      <c r="E665" s="21"/>
    </row>
    <row r="666" spans="5:5" ht="15.75" customHeight="1">
      <c r="E666" s="21"/>
    </row>
    <row r="667" spans="5:5" ht="15.75" customHeight="1">
      <c r="E667" s="21"/>
    </row>
    <row r="668" spans="5:5" ht="15.75" customHeight="1">
      <c r="E668" s="21"/>
    </row>
    <row r="669" spans="5:5" ht="15.75" customHeight="1">
      <c r="E669" s="21"/>
    </row>
    <row r="670" spans="5:5" ht="15.75" customHeight="1">
      <c r="E670" s="21"/>
    </row>
    <row r="671" spans="5:5" ht="15.75" customHeight="1">
      <c r="E671" s="21"/>
    </row>
    <row r="672" spans="5:5" ht="15.75" customHeight="1">
      <c r="E672" s="21"/>
    </row>
    <row r="673" spans="5:5" ht="15.75" customHeight="1">
      <c r="E673" s="21"/>
    </row>
    <row r="674" spans="5:5" ht="15.75" customHeight="1">
      <c r="E674" s="21"/>
    </row>
    <row r="675" spans="5:5" ht="15.75" customHeight="1">
      <c r="E675" s="21"/>
    </row>
    <row r="676" spans="5:5" ht="15.75" customHeight="1">
      <c r="E676" s="21"/>
    </row>
    <row r="677" spans="5:5" ht="15.75" customHeight="1">
      <c r="E677" s="21"/>
    </row>
    <row r="678" spans="5:5" ht="15.75" customHeight="1">
      <c r="E678" s="21"/>
    </row>
    <row r="679" spans="5:5" ht="15.75" customHeight="1">
      <c r="E679" s="21"/>
    </row>
    <row r="680" spans="5:5" ht="15.75" customHeight="1">
      <c r="E680" s="21"/>
    </row>
    <row r="681" spans="5:5" ht="15.75" customHeight="1">
      <c r="E681" s="21"/>
    </row>
    <row r="682" spans="5:5" ht="15.75" customHeight="1">
      <c r="E682" s="21"/>
    </row>
    <row r="683" spans="5:5" ht="15.75" customHeight="1">
      <c r="E683" s="21"/>
    </row>
    <row r="684" spans="5:5" ht="15.75" customHeight="1">
      <c r="E684" s="21"/>
    </row>
    <row r="685" spans="5:5" ht="15.75" customHeight="1">
      <c r="E685" s="21"/>
    </row>
    <row r="686" spans="5:5" ht="15.75" customHeight="1">
      <c r="E686" s="21"/>
    </row>
    <row r="687" spans="5:5" ht="15.75" customHeight="1">
      <c r="E687" s="21"/>
    </row>
    <row r="688" spans="5:5" ht="15.75" customHeight="1">
      <c r="E688" s="21"/>
    </row>
    <row r="689" spans="5:5" ht="15.75" customHeight="1">
      <c r="E689" s="21"/>
    </row>
    <row r="690" spans="5:5" ht="15.75" customHeight="1">
      <c r="E690" s="21"/>
    </row>
    <row r="691" spans="5:5" ht="15.75" customHeight="1">
      <c r="E691" s="21"/>
    </row>
    <row r="692" spans="5:5" ht="15.75" customHeight="1">
      <c r="E692" s="21"/>
    </row>
    <row r="693" spans="5:5" ht="15.75" customHeight="1">
      <c r="E693" s="21"/>
    </row>
    <row r="694" spans="5:5" ht="15.75" customHeight="1">
      <c r="E694" s="21"/>
    </row>
    <row r="695" spans="5:5" ht="15.75" customHeight="1">
      <c r="E695" s="21"/>
    </row>
    <row r="696" spans="5:5" ht="15.75" customHeight="1">
      <c r="E696" s="21"/>
    </row>
    <row r="697" spans="5:5" ht="15.75" customHeight="1">
      <c r="E697" s="21"/>
    </row>
    <row r="698" spans="5:5" ht="15.75" customHeight="1">
      <c r="E698" s="21"/>
    </row>
    <row r="699" spans="5:5" ht="15.75" customHeight="1">
      <c r="E699" s="21"/>
    </row>
    <row r="700" spans="5:5" ht="15.75" customHeight="1">
      <c r="E700" s="21"/>
    </row>
    <row r="701" spans="5:5" ht="15.75" customHeight="1">
      <c r="E701" s="21"/>
    </row>
    <row r="702" spans="5:5" ht="15.75" customHeight="1">
      <c r="E702" s="21"/>
    </row>
    <row r="703" spans="5:5" ht="15.75" customHeight="1">
      <c r="E703" s="21"/>
    </row>
    <row r="704" spans="5:5" ht="15.75" customHeight="1">
      <c r="E704" s="21"/>
    </row>
    <row r="705" spans="5:5" ht="15.75" customHeight="1">
      <c r="E705" s="21"/>
    </row>
    <row r="706" spans="5:5" ht="15.75" customHeight="1">
      <c r="E706" s="21"/>
    </row>
    <row r="707" spans="5:5" ht="15.75" customHeight="1">
      <c r="E707" s="21"/>
    </row>
    <row r="708" spans="5:5" ht="15.75" customHeight="1">
      <c r="E708" s="21"/>
    </row>
    <row r="709" spans="5:5" ht="15.75" customHeight="1">
      <c r="E709" s="21"/>
    </row>
    <row r="710" spans="5:5" ht="15.75" customHeight="1">
      <c r="E710" s="21"/>
    </row>
    <row r="711" spans="5:5" ht="15.75" customHeight="1">
      <c r="E711" s="21"/>
    </row>
    <row r="712" spans="5:5" ht="15.75" customHeight="1">
      <c r="E712" s="21"/>
    </row>
    <row r="713" spans="5:5" ht="15.75" customHeight="1">
      <c r="E713" s="21"/>
    </row>
    <row r="714" spans="5:5" ht="15.75" customHeight="1">
      <c r="E714" s="21"/>
    </row>
    <row r="715" spans="5:5" ht="15.75" customHeight="1">
      <c r="E715" s="21"/>
    </row>
    <row r="716" spans="5:5" ht="15.75" customHeight="1">
      <c r="E716" s="21"/>
    </row>
    <row r="717" spans="5:5" ht="15.75" customHeight="1">
      <c r="E717" s="21"/>
    </row>
    <row r="718" spans="5:5" ht="15.75" customHeight="1">
      <c r="E718" s="21"/>
    </row>
    <row r="719" spans="5:5" ht="15.75" customHeight="1">
      <c r="E719" s="21"/>
    </row>
    <row r="720" spans="5:5" ht="15.75" customHeight="1">
      <c r="E720" s="21"/>
    </row>
    <row r="721" spans="5:5" ht="15.75" customHeight="1">
      <c r="E721" s="21"/>
    </row>
    <row r="722" spans="5:5" ht="15.75" customHeight="1">
      <c r="E722" s="21"/>
    </row>
    <row r="723" spans="5:5" ht="15.75" customHeight="1">
      <c r="E723" s="21"/>
    </row>
    <row r="724" spans="5:5" ht="15.75" customHeight="1">
      <c r="E724" s="21"/>
    </row>
    <row r="725" spans="5:5" ht="15.75" customHeight="1">
      <c r="E725" s="21"/>
    </row>
    <row r="726" spans="5:5" ht="15.75" customHeight="1">
      <c r="E726" s="21"/>
    </row>
    <row r="727" spans="5:5" ht="15.75" customHeight="1">
      <c r="E727" s="21"/>
    </row>
    <row r="728" spans="5:5" ht="15.75" customHeight="1">
      <c r="E728" s="21"/>
    </row>
    <row r="729" spans="5:5" ht="15.75" customHeight="1">
      <c r="E729" s="21"/>
    </row>
    <row r="730" spans="5:5" ht="15.75" customHeight="1">
      <c r="E730" s="21"/>
    </row>
    <row r="731" spans="5:5" ht="15.75" customHeight="1">
      <c r="E731" s="21"/>
    </row>
    <row r="732" spans="5:5" ht="15.75" customHeight="1">
      <c r="E732" s="21"/>
    </row>
    <row r="733" spans="5:5" ht="15.75" customHeight="1">
      <c r="E733" s="21"/>
    </row>
    <row r="734" spans="5:5" ht="15.75" customHeight="1">
      <c r="E734" s="21"/>
    </row>
    <row r="735" spans="5:5" ht="15.75" customHeight="1">
      <c r="E735" s="21"/>
    </row>
    <row r="736" spans="5:5" ht="15.75" customHeight="1">
      <c r="E736" s="21"/>
    </row>
    <row r="737" spans="5:5" ht="15.75" customHeight="1">
      <c r="E737" s="21"/>
    </row>
    <row r="738" spans="5:5" ht="15.75" customHeight="1">
      <c r="E738" s="21"/>
    </row>
    <row r="739" spans="5:5" ht="15.75" customHeight="1">
      <c r="E739" s="21"/>
    </row>
    <row r="740" spans="5:5" ht="15.75" customHeight="1">
      <c r="E740" s="21"/>
    </row>
    <row r="741" spans="5:5" ht="15.75" customHeight="1">
      <c r="E741" s="21"/>
    </row>
    <row r="742" spans="5:5" ht="15.75" customHeight="1">
      <c r="E742" s="21"/>
    </row>
    <row r="743" spans="5:5" ht="15.75" customHeight="1">
      <c r="E743" s="21"/>
    </row>
    <row r="744" spans="5:5" ht="15.75" customHeight="1">
      <c r="E744" s="21"/>
    </row>
    <row r="745" spans="5:5" ht="15.75" customHeight="1">
      <c r="E745" s="21"/>
    </row>
    <row r="746" spans="5:5" ht="15.75" customHeight="1">
      <c r="E746" s="21"/>
    </row>
    <row r="747" spans="5:5" ht="15.75" customHeight="1">
      <c r="E747" s="21"/>
    </row>
    <row r="748" spans="5:5" ht="15.75" customHeight="1">
      <c r="E748" s="21"/>
    </row>
    <row r="749" spans="5:5" ht="15.75" customHeight="1">
      <c r="E749" s="21"/>
    </row>
    <row r="750" spans="5:5" ht="15.75" customHeight="1">
      <c r="E750" s="21"/>
    </row>
    <row r="751" spans="5:5" ht="15.75" customHeight="1">
      <c r="E751" s="21"/>
    </row>
    <row r="752" spans="5:5" ht="15.75" customHeight="1">
      <c r="E752" s="21"/>
    </row>
    <row r="753" spans="5:5" ht="15.75" customHeight="1">
      <c r="E753" s="21"/>
    </row>
    <row r="754" spans="5:5" ht="15.75" customHeight="1">
      <c r="E754" s="21"/>
    </row>
    <row r="755" spans="5:5" ht="15.75" customHeight="1">
      <c r="E755" s="21"/>
    </row>
    <row r="756" spans="5:5" ht="15.75" customHeight="1">
      <c r="E756" s="21"/>
    </row>
    <row r="757" spans="5:5" ht="15.75" customHeight="1">
      <c r="E757" s="21"/>
    </row>
    <row r="758" spans="5:5" ht="15.75" customHeight="1">
      <c r="E758" s="21"/>
    </row>
    <row r="759" spans="5:5" ht="15.75" customHeight="1">
      <c r="E759" s="21"/>
    </row>
    <row r="760" spans="5:5" ht="15.75" customHeight="1">
      <c r="E760" s="21"/>
    </row>
    <row r="761" spans="5:5" ht="15.75" customHeight="1">
      <c r="E761" s="21"/>
    </row>
    <row r="762" spans="5:5" ht="15.75" customHeight="1">
      <c r="E762" s="21"/>
    </row>
    <row r="763" spans="5:5" ht="15.75" customHeight="1">
      <c r="E763" s="21"/>
    </row>
    <row r="764" spans="5:5" ht="15.75" customHeight="1">
      <c r="E764" s="21"/>
    </row>
    <row r="765" spans="5:5" ht="15.75" customHeight="1">
      <c r="E765" s="21"/>
    </row>
    <row r="766" spans="5:5" ht="15.75" customHeight="1">
      <c r="E766" s="21"/>
    </row>
    <row r="767" spans="5:5" ht="15.75" customHeight="1">
      <c r="E767" s="21"/>
    </row>
    <row r="768" spans="5:5" ht="15.75" customHeight="1">
      <c r="E768" s="21"/>
    </row>
    <row r="769" spans="5:5" ht="15.75" customHeight="1">
      <c r="E769" s="21"/>
    </row>
    <row r="770" spans="5:5" ht="15.75" customHeight="1">
      <c r="E770" s="21"/>
    </row>
    <row r="771" spans="5:5" ht="15.75" customHeight="1">
      <c r="E771" s="21"/>
    </row>
    <row r="772" spans="5:5" ht="15.75" customHeight="1">
      <c r="E772" s="21"/>
    </row>
    <row r="773" spans="5:5" ht="15.75" customHeight="1">
      <c r="E773" s="21"/>
    </row>
    <row r="774" spans="5:5" ht="15.75" customHeight="1">
      <c r="E774" s="21"/>
    </row>
    <row r="775" spans="5:5" ht="15.75" customHeight="1">
      <c r="E775" s="21"/>
    </row>
    <row r="776" spans="5:5" ht="15.75" customHeight="1">
      <c r="E776" s="21"/>
    </row>
    <row r="777" spans="5:5" ht="15.75" customHeight="1">
      <c r="E777" s="21"/>
    </row>
    <row r="778" spans="5:5" ht="15.75" customHeight="1">
      <c r="E778" s="21"/>
    </row>
    <row r="779" spans="5:5" ht="15.75" customHeight="1">
      <c r="E779" s="21"/>
    </row>
    <row r="780" spans="5:5" ht="15.75" customHeight="1">
      <c r="E780" s="21"/>
    </row>
    <row r="781" spans="5:5" ht="15.75" customHeight="1">
      <c r="E781" s="21"/>
    </row>
    <row r="782" spans="5:5" ht="15.75" customHeight="1">
      <c r="E782" s="21"/>
    </row>
    <row r="783" spans="5:5" ht="15.75" customHeight="1">
      <c r="E783" s="21"/>
    </row>
    <row r="784" spans="5:5" ht="15.75" customHeight="1">
      <c r="E784" s="21"/>
    </row>
    <row r="785" spans="5:5" ht="15.75" customHeight="1">
      <c r="E785" s="21"/>
    </row>
    <row r="786" spans="5:5" ht="15.75" customHeight="1">
      <c r="E786" s="21"/>
    </row>
    <row r="787" spans="5:5" ht="15.75" customHeight="1">
      <c r="E787" s="21"/>
    </row>
    <row r="788" spans="5:5" ht="15.75" customHeight="1">
      <c r="E788" s="21"/>
    </row>
    <row r="789" spans="5:5" ht="15.75" customHeight="1">
      <c r="E789" s="21"/>
    </row>
    <row r="790" spans="5:5" ht="15.75" customHeight="1">
      <c r="E790" s="21"/>
    </row>
    <row r="791" spans="5:5" ht="15.75" customHeight="1">
      <c r="E791" s="21"/>
    </row>
    <row r="792" spans="5:5" ht="15.75" customHeight="1">
      <c r="E792" s="21"/>
    </row>
    <row r="793" spans="5:5" ht="15.75" customHeight="1">
      <c r="E793" s="21"/>
    </row>
    <row r="794" spans="5:5" ht="15.75" customHeight="1">
      <c r="E794" s="21"/>
    </row>
    <row r="795" spans="5:5" ht="15.75" customHeight="1">
      <c r="E795" s="21"/>
    </row>
    <row r="796" spans="5:5" ht="15.75" customHeight="1">
      <c r="E796" s="21"/>
    </row>
    <row r="797" spans="5:5" ht="15.75" customHeight="1">
      <c r="E797" s="21"/>
    </row>
    <row r="798" spans="5:5" ht="15.75" customHeight="1">
      <c r="E798" s="21"/>
    </row>
    <row r="799" spans="5:5" ht="15.75" customHeight="1">
      <c r="E799" s="21"/>
    </row>
    <row r="800" spans="5:5" ht="15.75" customHeight="1">
      <c r="E800" s="21"/>
    </row>
    <row r="801" spans="5:5" ht="15.75" customHeight="1">
      <c r="E801" s="21"/>
    </row>
    <row r="802" spans="5:5" ht="15.75" customHeight="1">
      <c r="E802" s="21"/>
    </row>
    <row r="803" spans="5:5" ht="15.75" customHeight="1">
      <c r="E803" s="21"/>
    </row>
    <row r="804" spans="5:5" ht="15.75" customHeight="1">
      <c r="E804" s="21"/>
    </row>
    <row r="805" spans="5:5" ht="15.75" customHeight="1">
      <c r="E805" s="21"/>
    </row>
    <row r="806" spans="5:5" ht="15.75" customHeight="1">
      <c r="E806" s="21"/>
    </row>
    <row r="807" spans="5:5" ht="15.75" customHeight="1">
      <c r="E807" s="21"/>
    </row>
    <row r="808" spans="5:5" ht="15.75" customHeight="1">
      <c r="E808" s="21"/>
    </row>
    <row r="809" spans="5:5" ht="15.75" customHeight="1">
      <c r="E809" s="21"/>
    </row>
    <row r="810" spans="5:5" ht="15.75" customHeight="1">
      <c r="E810" s="21"/>
    </row>
    <row r="811" spans="5:5" ht="15.75" customHeight="1">
      <c r="E811" s="21"/>
    </row>
    <row r="812" spans="5:5" ht="15.75" customHeight="1">
      <c r="E812" s="21"/>
    </row>
    <row r="813" spans="5:5" ht="15.75" customHeight="1">
      <c r="E813" s="21"/>
    </row>
    <row r="814" spans="5:5" ht="15.75" customHeight="1">
      <c r="E814" s="21"/>
    </row>
    <row r="815" spans="5:5" ht="15.75" customHeight="1">
      <c r="E815" s="21"/>
    </row>
    <row r="816" spans="5:5" ht="15.75" customHeight="1">
      <c r="E816" s="21"/>
    </row>
    <row r="817" spans="5:5" ht="15.75" customHeight="1">
      <c r="E817" s="21"/>
    </row>
    <row r="818" spans="5:5" ht="15.75" customHeight="1">
      <c r="E818" s="21"/>
    </row>
    <row r="819" spans="5:5" ht="15.75" customHeight="1">
      <c r="E819" s="21"/>
    </row>
    <row r="820" spans="5:5" ht="15.75" customHeight="1">
      <c r="E820" s="21"/>
    </row>
    <row r="821" spans="5:5" ht="15.75" customHeight="1">
      <c r="E821" s="21"/>
    </row>
    <row r="822" spans="5:5" ht="15.75" customHeight="1">
      <c r="E822" s="21"/>
    </row>
    <row r="823" spans="5:5" ht="15.75" customHeight="1">
      <c r="E823" s="21"/>
    </row>
    <row r="824" spans="5:5" ht="15.75" customHeight="1">
      <c r="E824" s="21"/>
    </row>
    <row r="825" spans="5:5" ht="15.75" customHeight="1">
      <c r="E825" s="21"/>
    </row>
    <row r="826" spans="5:5" ht="15.75" customHeight="1">
      <c r="E826" s="21"/>
    </row>
    <row r="827" spans="5:5" ht="15.75" customHeight="1">
      <c r="E827" s="21"/>
    </row>
    <row r="828" spans="5:5" ht="15.75" customHeight="1">
      <c r="E828" s="21"/>
    </row>
    <row r="829" spans="5:5" ht="15.75" customHeight="1">
      <c r="E829" s="21"/>
    </row>
    <row r="830" spans="5:5" ht="15.75" customHeight="1">
      <c r="E830" s="21"/>
    </row>
    <row r="831" spans="5:5" ht="15.75" customHeight="1">
      <c r="E831" s="21"/>
    </row>
    <row r="832" spans="5:5" ht="15.75" customHeight="1">
      <c r="E832" s="21"/>
    </row>
    <row r="833" spans="5:5" ht="15.75" customHeight="1">
      <c r="E833" s="21"/>
    </row>
    <row r="834" spans="5:5" ht="15.75" customHeight="1">
      <c r="E834" s="21"/>
    </row>
    <row r="835" spans="5:5" ht="15.75" customHeight="1">
      <c r="E835" s="21"/>
    </row>
    <row r="836" spans="5:5" ht="15.75" customHeight="1">
      <c r="E836" s="21"/>
    </row>
    <row r="837" spans="5:5" ht="15.75" customHeight="1">
      <c r="E837" s="21"/>
    </row>
    <row r="838" spans="5:5" ht="15.75" customHeight="1">
      <c r="E838" s="21"/>
    </row>
    <row r="839" spans="5:5" ht="15.75" customHeight="1">
      <c r="E839" s="21"/>
    </row>
    <row r="840" spans="5:5" ht="15.75" customHeight="1">
      <c r="E840" s="21"/>
    </row>
    <row r="841" spans="5:5" ht="15.75" customHeight="1">
      <c r="E841" s="21"/>
    </row>
    <row r="842" spans="5:5" ht="15.75" customHeight="1">
      <c r="E842" s="21"/>
    </row>
    <row r="843" spans="5:5" ht="15.75" customHeight="1">
      <c r="E843" s="21"/>
    </row>
    <row r="844" spans="5:5" ht="15.75" customHeight="1">
      <c r="E844" s="21"/>
    </row>
    <row r="845" spans="5:5" ht="15.75" customHeight="1">
      <c r="E845" s="21"/>
    </row>
    <row r="846" spans="5:5" ht="15.75" customHeight="1">
      <c r="E846" s="21"/>
    </row>
    <row r="847" spans="5:5" ht="15.75" customHeight="1">
      <c r="E847" s="21"/>
    </row>
    <row r="848" spans="5:5" ht="15.75" customHeight="1">
      <c r="E848" s="21"/>
    </row>
    <row r="849" spans="5:5" ht="15.75" customHeight="1">
      <c r="E849" s="21"/>
    </row>
    <row r="850" spans="5:5" ht="15.75" customHeight="1">
      <c r="E850" s="21"/>
    </row>
    <row r="851" spans="5:5" ht="15.75" customHeight="1">
      <c r="E851" s="21"/>
    </row>
    <row r="852" spans="5:5" ht="15.75" customHeight="1">
      <c r="E852" s="21"/>
    </row>
    <row r="853" spans="5:5" ht="15.75" customHeight="1">
      <c r="E853" s="21"/>
    </row>
    <row r="854" spans="5:5" ht="15.75" customHeight="1">
      <c r="E854" s="21"/>
    </row>
    <row r="855" spans="5:5" ht="15.75" customHeight="1">
      <c r="E855" s="21"/>
    </row>
    <row r="856" spans="5:5" ht="15.75" customHeight="1">
      <c r="E856" s="21"/>
    </row>
    <row r="857" spans="5:5" ht="15.75" customHeight="1">
      <c r="E857" s="21"/>
    </row>
    <row r="858" spans="5:5" ht="15.75" customHeight="1">
      <c r="E858" s="21"/>
    </row>
    <row r="859" spans="5:5" ht="15.75" customHeight="1">
      <c r="E859" s="21"/>
    </row>
    <row r="860" spans="5:5" ht="15.75" customHeight="1">
      <c r="E860" s="21"/>
    </row>
    <row r="861" spans="5:5" ht="15.75" customHeight="1">
      <c r="E861" s="21"/>
    </row>
    <row r="862" spans="5:5" ht="15.75" customHeight="1">
      <c r="E862" s="21"/>
    </row>
    <row r="863" spans="5:5" ht="15.75" customHeight="1">
      <c r="E863" s="21"/>
    </row>
    <row r="864" spans="5:5" ht="15.75" customHeight="1">
      <c r="E864" s="21"/>
    </row>
    <row r="865" spans="5:5" ht="15.75" customHeight="1">
      <c r="E865" s="21"/>
    </row>
    <row r="866" spans="5:5" ht="15.75" customHeight="1">
      <c r="E866" s="21"/>
    </row>
    <row r="867" spans="5:5" ht="15.75" customHeight="1">
      <c r="E867" s="21"/>
    </row>
    <row r="868" spans="5:5" ht="15.75" customHeight="1">
      <c r="E868" s="21"/>
    </row>
    <row r="869" spans="5:5" ht="15.75" customHeight="1">
      <c r="E869" s="21"/>
    </row>
    <row r="870" spans="5:5" ht="15.75" customHeight="1">
      <c r="E870" s="21"/>
    </row>
    <row r="871" spans="5:5" ht="15.75" customHeight="1">
      <c r="E871" s="21"/>
    </row>
    <row r="872" spans="5:5" ht="15.75" customHeight="1">
      <c r="E872" s="21"/>
    </row>
    <row r="873" spans="5:5" ht="15.75" customHeight="1">
      <c r="E873" s="21"/>
    </row>
    <row r="874" spans="5:5" ht="15.75" customHeight="1">
      <c r="E874" s="21"/>
    </row>
    <row r="875" spans="5:5" ht="15.75" customHeight="1">
      <c r="E875" s="21"/>
    </row>
    <row r="876" spans="5:5" ht="15.75" customHeight="1">
      <c r="E876" s="21"/>
    </row>
    <row r="877" spans="5:5" ht="15.75" customHeight="1">
      <c r="E877" s="21"/>
    </row>
    <row r="878" spans="5:5" ht="15.75" customHeight="1">
      <c r="E878" s="21"/>
    </row>
    <row r="879" spans="5:5" ht="15.75" customHeight="1">
      <c r="E879" s="21"/>
    </row>
    <row r="880" spans="5:5" ht="15.75" customHeight="1">
      <c r="E880" s="21"/>
    </row>
    <row r="881" spans="5:5" ht="15.75" customHeight="1">
      <c r="E881" s="21"/>
    </row>
    <row r="882" spans="5:5" ht="15.75" customHeight="1">
      <c r="E882" s="21"/>
    </row>
    <row r="883" spans="5:5" ht="15.75" customHeight="1">
      <c r="E883" s="21"/>
    </row>
    <row r="884" spans="5:5" ht="15.75" customHeight="1">
      <c r="E884" s="21"/>
    </row>
    <row r="885" spans="5:5" ht="15.75" customHeight="1">
      <c r="E885" s="21"/>
    </row>
    <row r="886" spans="5:5" ht="15.75" customHeight="1">
      <c r="E886" s="21"/>
    </row>
    <row r="887" spans="5:5" ht="15.75" customHeight="1">
      <c r="E887" s="21"/>
    </row>
    <row r="888" spans="5:5" ht="15.75" customHeight="1">
      <c r="E888" s="21"/>
    </row>
    <row r="889" spans="5:5" ht="15.75" customHeight="1">
      <c r="E889" s="21"/>
    </row>
    <row r="890" spans="5:5" ht="15.75" customHeight="1">
      <c r="E890" s="21"/>
    </row>
    <row r="891" spans="5:5" ht="15.75" customHeight="1">
      <c r="E891" s="21"/>
    </row>
    <row r="892" spans="5:5" ht="15.75" customHeight="1">
      <c r="E892" s="21"/>
    </row>
    <row r="893" spans="5:5" ht="15.75" customHeight="1">
      <c r="E893" s="21"/>
    </row>
    <row r="894" spans="5:5" ht="15.75" customHeight="1">
      <c r="E894" s="21"/>
    </row>
    <row r="895" spans="5:5" ht="15.75" customHeight="1">
      <c r="E895" s="21"/>
    </row>
    <row r="896" spans="5:5" ht="15.75" customHeight="1">
      <c r="E896" s="21"/>
    </row>
    <row r="897" spans="5:5" ht="15.75" customHeight="1">
      <c r="E897" s="21"/>
    </row>
    <row r="898" spans="5:5" ht="15.75" customHeight="1">
      <c r="E898" s="21"/>
    </row>
    <row r="899" spans="5:5" ht="15.75" customHeight="1">
      <c r="E899" s="21"/>
    </row>
    <row r="900" spans="5:5" ht="15.75" customHeight="1">
      <c r="E900" s="21"/>
    </row>
    <row r="901" spans="5:5" ht="15.75" customHeight="1">
      <c r="E901" s="21"/>
    </row>
    <row r="902" spans="5:5" ht="15.75" customHeight="1">
      <c r="E902" s="21"/>
    </row>
    <row r="903" spans="5:5" ht="15.75" customHeight="1">
      <c r="E903" s="21"/>
    </row>
    <row r="904" spans="5:5" ht="15.75" customHeight="1">
      <c r="E904" s="21"/>
    </row>
    <row r="905" spans="5:5" ht="15.75" customHeight="1">
      <c r="E905" s="21"/>
    </row>
    <row r="906" spans="5:5" ht="15.75" customHeight="1">
      <c r="E906" s="21"/>
    </row>
    <row r="907" spans="5:5" ht="15.75" customHeight="1">
      <c r="E907" s="21"/>
    </row>
    <row r="908" spans="5:5" ht="15.75" customHeight="1">
      <c r="E908" s="21"/>
    </row>
    <row r="909" spans="5:5" ht="15.75" customHeight="1">
      <c r="E909" s="21"/>
    </row>
    <row r="910" spans="5:5" ht="15.75" customHeight="1">
      <c r="E910" s="21"/>
    </row>
    <row r="911" spans="5:5" ht="15.75" customHeight="1">
      <c r="E911" s="21"/>
    </row>
    <row r="912" spans="5:5" ht="15.75" customHeight="1">
      <c r="E912" s="21"/>
    </row>
    <row r="913" spans="5:5" ht="15.75" customHeight="1">
      <c r="E913" s="21"/>
    </row>
    <row r="914" spans="5:5" ht="15.75" customHeight="1">
      <c r="E914" s="21"/>
    </row>
    <row r="915" spans="5:5" ht="15.75" customHeight="1">
      <c r="E915" s="21"/>
    </row>
    <row r="916" spans="5:5" ht="15.75" customHeight="1">
      <c r="E916" s="21"/>
    </row>
    <row r="917" spans="5:5" ht="15.75" customHeight="1">
      <c r="E917" s="21"/>
    </row>
    <row r="918" spans="5:5" ht="15.75" customHeight="1">
      <c r="E918" s="21"/>
    </row>
    <row r="919" spans="5:5" ht="15.75" customHeight="1">
      <c r="E919" s="21"/>
    </row>
    <row r="920" spans="5:5" ht="15.75" customHeight="1">
      <c r="E920" s="21"/>
    </row>
    <row r="921" spans="5:5" ht="15.75" customHeight="1">
      <c r="E921" s="21"/>
    </row>
    <row r="922" spans="5:5" ht="15.75" customHeight="1">
      <c r="E922" s="21"/>
    </row>
    <row r="923" spans="5:5" ht="15.75" customHeight="1">
      <c r="E923" s="21"/>
    </row>
    <row r="924" spans="5:5" ht="15.75" customHeight="1">
      <c r="E924" s="21"/>
    </row>
    <row r="925" spans="5:5" ht="15.75" customHeight="1">
      <c r="E925" s="21"/>
    </row>
    <row r="926" spans="5:5" ht="15.75" customHeight="1">
      <c r="E926" s="21"/>
    </row>
    <row r="927" spans="5:5" ht="15.75" customHeight="1">
      <c r="E927" s="21"/>
    </row>
    <row r="928" spans="5:5" ht="15.75" customHeight="1">
      <c r="E928" s="21"/>
    </row>
    <row r="929" spans="5:5" ht="15.75" customHeight="1">
      <c r="E929" s="21"/>
    </row>
    <row r="930" spans="5:5" ht="15.75" customHeight="1">
      <c r="E930" s="21"/>
    </row>
    <row r="931" spans="5:5" ht="15.75" customHeight="1">
      <c r="E931" s="21"/>
    </row>
    <row r="932" spans="5:5" ht="15.75" customHeight="1">
      <c r="E932" s="21"/>
    </row>
    <row r="933" spans="5:5" ht="15.75" customHeight="1">
      <c r="E933" s="21"/>
    </row>
    <row r="934" spans="5:5" ht="15.75" customHeight="1">
      <c r="E934" s="21"/>
    </row>
    <row r="935" spans="5:5" ht="15.75" customHeight="1">
      <c r="E935" s="21"/>
    </row>
    <row r="936" spans="5:5" ht="15.75" customHeight="1">
      <c r="E936" s="21"/>
    </row>
    <row r="937" spans="5:5" ht="15.75" customHeight="1">
      <c r="E937" s="21"/>
    </row>
    <row r="938" spans="5:5" ht="15.75" customHeight="1">
      <c r="E938" s="21"/>
    </row>
    <row r="939" spans="5:5" ht="15.75" customHeight="1">
      <c r="E939" s="21"/>
    </row>
    <row r="940" spans="5:5" ht="15.75" customHeight="1">
      <c r="E940" s="21"/>
    </row>
    <row r="941" spans="5:5" ht="15.75" customHeight="1">
      <c r="E941" s="21"/>
    </row>
    <row r="942" spans="5:5" ht="15.75" customHeight="1">
      <c r="E942" s="21"/>
    </row>
    <row r="943" spans="5:5" ht="15.75" customHeight="1">
      <c r="E943" s="21"/>
    </row>
    <row r="944" spans="5:5" ht="15.75" customHeight="1">
      <c r="E944" s="21"/>
    </row>
    <row r="945" spans="5:5" ht="15.75" customHeight="1">
      <c r="E945" s="21"/>
    </row>
    <row r="946" spans="5:5" ht="15.75" customHeight="1">
      <c r="E946" s="21"/>
    </row>
    <row r="947" spans="5:5" ht="15.75" customHeight="1">
      <c r="E947" s="21"/>
    </row>
    <row r="948" spans="5:5" ht="15.75" customHeight="1">
      <c r="E948" s="21"/>
    </row>
    <row r="949" spans="5:5" ht="15.75" customHeight="1">
      <c r="E949" s="21"/>
    </row>
    <row r="950" spans="5:5" ht="15.75" customHeight="1">
      <c r="E950" s="21"/>
    </row>
    <row r="951" spans="5:5" ht="15.75" customHeight="1">
      <c r="E951" s="21"/>
    </row>
    <row r="952" spans="5:5" ht="15.75" customHeight="1">
      <c r="E952" s="21"/>
    </row>
    <row r="953" spans="5:5" ht="15.75" customHeight="1">
      <c r="E953" s="21"/>
    </row>
    <row r="954" spans="5:5" ht="15.75" customHeight="1">
      <c r="E954" s="21"/>
    </row>
    <row r="955" spans="5:5" ht="15.75" customHeight="1">
      <c r="E955" s="21"/>
    </row>
    <row r="956" spans="5:5" ht="15.75" customHeight="1">
      <c r="E956" s="21"/>
    </row>
    <row r="957" spans="5:5" ht="15.75" customHeight="1">
      <c r="E957" s="21"/>
    </row>
    <row r="958" spans="5:5" ht="15.75" customHeight="1">
      <c r="E958" s="21"/>
    </row>
    <row r="959" spans="5:5" ht="15.75" customHeight="1">
      <c r="E959" s="21"/>
    </row>
    <row r="960" spans="5:5" ht="15.75" customHeight="1">
      <c r="E960" s="21"/>
    </row>
    <row r="961" spans="5:5" ht="15.75" customHeight="1">
      <c r="E961" s="21"/>
    </row>
    <row r="962" spans="5:5" ht="15.75" customHeight="1">
      <c r="E962" s="21"/>
    </row>
    <row r="963" spans="5:5" ht="15.75" customHeight="1">
      <c r="E963" s="21"/>
    </row>
    <row r="964" spans="5:5" ht="15.75" customHeight="1">
      <c r="E964" s="21"/>
    </row>
    <row r="965" spans="5:5" ht="15.75" customHeight="1">
      <c r="E965" s="21"/>
    </row>
    <row r="966" spans="5:5" ht="15.75" customHeight="1">
      <c r="E966" s="21"/>
    </row>
    <row r="967" spans="5:5" ht="15.75" customHeight="1">
      <c r="E967" s="21"/>
    </row>
    <row r="968" spans="5:5" ht="15.75" customHeight="1">
      <c r="E968" s="21"/>
    </row>
    <row r="969" spans="5:5" ht="15.75" customHeight="1">
      <c r="E969" s="21"/>
    </row>
    <row r="970" spans="5:5" ht="15.75" customHeight="1">
      <c r="E970" s="21"/>
    </row>
    <row r="971" spans="5:5" ht="15.75" customHeight="1">
      <c r="E971" s="21"/>
    </row>
    <row r="972" spans="5:5" ht="15.75" customHeight="1">
      <c r="E972" s="21"/>
    </row>
    <row r="973" spans="5:5" ht="15.75" customHeight="1">
      <c r="E973" s="21"/>
    </row>
    <row r="974" spans="5:5" ht="15.75" customHeight="1">
      <c r="E974" s="21"/>
    </row>
    <row r="975" spans="5:5" ht="15.75" customHeight="1">
      <c r="E975" s="21"/>
    </row>
    <row r="976" spans="5:5" ht="15.75" customHeight="1">
      <c r="E976" s="21"/>
    </row>
    <row r="977" spans="5:5" ht="15.75" customHeight="1">
      <c r="E977" s="21"/>
    </row>
    <row r="978" spans="5:5" ht="15.75" customHeight="1">
      <c r="E978" s="21"/>
    </row>
    <row r="979" spans="5:5" ht="15.75" customHeight="1">
      <c r="E979" s="21"/>
    </row>
    <row r="980" spans="5:5" ht="15.75" customHeight="1">
      <c r="E980" s="21"/>
    </row>
    <row r="981" spans="5:5" ht="15.75" customHeight="1">
      <c r="E981" s="21"/>
    </row>
    <row r="982" spans="5:5" ht="15.75" customHeight="1">
      <c r="E982" s="21"/>
    </row>
    <row r="983" spans="5:5" ht="15.75" customHeight="1">
      <c r="E983" s="21"/>
    </row>
    <row r="984" spans="5:5" ht="15.75" customHeight="1">
      <c r="E984" s="21"/>
    </row>
    <row r="985" spans="5:5" ht="15.75" customHeight="1">
      <c r="E985" s="21"/>
    </row>
    <row r="986" spans="5:5" ht="15.75" customHeight="1">
      <c r="E986" s="21"/>
    </row>
    <row r="987" spans="5:5" ht="15.75" customHeight="1">
      <c r="E987" s="21"/>
    </row>
    <row r="988" spans="5:5" ht="15.75" customHeight="1">
      <c r="E988" s="21"/>
    </row>
    <row r="989" spans="5:5" ht="15.75" customHeight="1">
      <c r="E989" s="21"/>
    </row>
    <row r="990" spans="5:5" ht="15.75" customHeight="1">
      <c r="E990" s="21"/>
    </row>
    <row r="991" spans="5:5" ht="15.75" customHeight="1">
      <c r="E991" s="21"/>
    </row>
    <row r="992" spans="5:5" ht="15.75" customHeight="1">
      <c r="E992" s="21"/>
    </row>
    <row r="993" spans="5:5" ht="15.75" customHeight="1">
      <c r="E993" s="21"/>
    </row>
    <row r="994" spans="5:5" ht="15.75" customHeight="1">
      <c r="E994" s="21"/>
    </row>
    <row r="995" spans="5:5" ht="15.75" customHeight="1">
      <c r="E995" s="21"/>
    </row>
    <row r="996" spans="5:5" ht="15.75" customHeight="1">
      <c r="E996" s="21"/>
    </row>
    <row r="997" spans="5:5" ht="15.75" customHeight="1">
      <c r="E997" s="21"/>
    </row>
    <row r="998" spans="5:5" ht="15.75" customHeight="1">
      <c r="E998" s="21"/>
    </row>
    <row r="999" spans="5:5" ht="15.75" customHeight="1">
      <c r="E999" s="21"/>
    </row>
    <row r="1000" spans="5:5" ht="15.75" customHeight="1">
      <c r="E1000" s="21"/>
    </row>
    <row r="1001" spans="5:5" ht="15.75" customHeight="1">
      <c r="E1001" s="21"/>
    </row>
    <row r="1002" spans="5:5" ht="15.75" customHeight="1">
      <c r="E1002" s="21"/>
    </row>
  </sheetData>
  <mergeCells count="1">
    <mergeCell ref="A1:H2"/>
  </mergeCells>
  <pageMargins left="0.7" right="0.7" top="0.75" bottom="0.75" header="0" footer="0"/>
  <pageSetup orientation="landscape"/>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7AFA3-674F-4861-B62D-51768AE45A31}">
  <dimension ref="A3:B6"/>
  <sheetViews>
    <sheetView showGridLines="0" workbookViewId="0">
      <selection activeCell="E3" sqref="E3"/>
    </sheetView>
  </sheetViews>
  <sheetFormatPr defaultRowHeight="14.4"/>
  <cols>
    <col min="1" max="1" width="12.5546875" bestFit="1" customWidth="1"/>
    <col min="2" max="2" width="26.33203125" bestFit="1" customWidth="1"/>
  </cols>
  <sheetData>
    <row r="3" spans="1:2">
      <c r="A3" s="2" t="s">
        <v>10</v>
      </c>
      <c r="B3" t="s">
        <v>12</v>
      </c>
    </row>
    <row r="4" spans="1:2">
      <c r="A4" s="3" t="s">
        <v>1</v>
      </c>
      <c r="B4">
        <v>6.4582089552238831</v>
      </c>
    </row>
    <row r="5" spans="1:2">
      <c r="A5" s="3" t="s">
        <v>2</v>
      </c>
      <c r="B5">
        <v>6.8856716417910446</v>
      </c>
    </row>
    <row r="6" spans="1:2">
      <c r="A6" s="3" t="s">
        <v>3</v>
      </c>
      <c r="B6">
        <v>6.7189393939393929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8ED8A-4DE2-43F6-B4B9-2B5401C5101B}">
  <dimension ref="A3:C6"/>
  <sheetViews>
    <sheetView showGridLines="0" workbookViewId="0">
      <selection activeCell="E3" sqref="E3"/>
    </sheetView>
  </sheetViews>
  <sheetFormatPr defaultRowHeight="14.4"/>
  <cols>
    <col min="1" max="1" width="12.5546875" bestFit="1" customWidth="1"/>
    <col min="2" max="2" width="23.109375" bestFit="1" customWidth="1"/>
    <col min="3" max="3" width="16.21875" bestFit="1" customWidth="1"/>
  </cols>
  <sheetData>
    <row r="3" spans="1:3">
      <c r="A3" s="2" t="s">
        <v>10</v>
      </c>
      <c r="B3" t="s">
        <v>11</v>
      </c>
      <c r="C3" t="s">
        <v>14</v>
      </c>
    </row>
    <row r="4" spans="1:3">
      <c r="A4" s="3" t="s">
        <v>1</v>
      </c>
      <c r="B4">
        <v>432.70000000000016</v>
      </c>
      <c r="C4">
        <v>1035942</v>
      </c>
    </row>
    <row r="5" spans="1:3">
      <c r="A5" s="3" t="s">
        <v>2</v>
      </c>
      <c r="B5">
        <v>461.34</v>
      </c>
      <c r="C5">
        <v>1114204</v>
      </c>
    </row>
    <row r="6" spans="1:3">
      <c r="A6" s="3" t="s">
        <v>3</v>
      </c>
      <c r="B6">
        <v>443.44999999999993</v>
      </c>
      <c r="C6">
        <v>1065782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7B008-1F3E-42D0-A0D8-D4258EEDB9B4}">
  <dimension ref="A3:D28"/>
  <sheetViews>
    <sheetView showGridLines="0" workbookViewId="0">
      <selection activeCell="G3" sqref="G3"/>
    </sheetView>
  </sheetViews>
  <sheetFormatPr defaultRowHeight="14.4"/>
  <cols>
    <col min="1" max="1" width="21.5546875" bestFit="1" customWidth="1"/>
    <col min="2" max="2" width="15.5546875" bestFit="1" customWidth="1"/>
    <col min="3" max="3" width="6.88671875" bestFit="1" customWidth="1"/>
    <col min="4" max="4" width="8.44140625" bestFit="1" customWidth="1"/>
    <col min="5" max="5" width="10.77734375" bestFit="1" customWidth="1"/>
  </cols>
  <sheetData>
    <row r="3" spans="1:4">
      <c r="A3" s="2" t="s">
        <v>25</v>
      </c>
      <c r="B3" s="2" t="s">
        <v>24</v>
      </c>
    </row>
    <row r="4" spans="1:4">
      <c r="A4" s="2" t="s">
        <v>10</v>
      </c>
      <c r="B4" t="s">
        <v>1</v>
      </c>
      <c r="C4" t="s">
        <v>2</v>
      </c>
      <c r="D4" t="s">
        <v>3</v>
      </c>
    </row>
    <row r="5" spans="1:4">
      <c r="A5" s="3" t="s">
        <v>15</v>
      </c>
      <c r="B5">
        <v>25615</v>
      </c>
      <c r="C5">
        <v>26297</v>
      </c>
      <c r="D5">
        <v>27934</v>
      </c>
    </row>
    <row r="6" spans="1:4">
      <c r="A6" s="4" t="s">
        <v>17</v>
      </c>
      <c r="B6">
        <v>3464</v>
      </c>
      <c r="C6">
        <v>4710</v>
      </c>
      <c r="D6">
        <v>3630</v>
      </c>
    </row>
    <row r="7" spans="1:4">
      <c r="A7" s="5" t="s">
        <v>20</v>
      </c>
      <c r="B7">
        <v>3464</v>
      </c>
      <c r="C7">
        <v>4710</v>
      </c>
      <c r="D7">
        <v>3630</v>
      </c>
    </row>
    <row r="8" spans="1:4">
      <c r="A8" s="4" t="s">
        <v>18</v>
      </c>
      <c r="B8">
        <v>11530</v>
      </c>
      <c r="C8">
        <v>11816</v>
      </c>
      <c r="D8">
        <v>12762</v>
      </c>
    </row>
    <row r="9" spans="1:4">
      <c r="A9" s="5" t="s">
        <v>21</v>
      </c>
      <c r="B9">
        <v>3401</v>
      </c>
      <c r="C9">
        <v>3842</v>
      </c>
      <c r="D9">
        <v>5120</v>
      </c>
    </row>
    <row r="10" spans="1:4">
      <c r="A10" s="5" t="s">
        <v>22</v>
      </c>
      <c r="B10">
        <v>4261</v>
      </c>
      <c r="C10">
        <v>2417</v>
      </c>
      <c r="D10">
        <v>3837</v>
      </c>
    </row>
    <row r="11" spans="1:4">
      <c r="A11" s="5" t="s">
        <v>23</v>
      </c>
      <c r="B11">
        <v>3868</v>
      </c>
      <c r="C11">
        <v>5557</v>
      </c>
      <c r="D11">
        <v>3805</v>
      </c>
    </row>
    <row r="12" spans="1:4">
      <c r="A12" s="4" t="s">
        <v>19</v>
      </c>
      <c r="B12">
        <v>10621</v>
      </c>
      <c r="C12">
        <v>9771</v>
      </c>
      <c r="D12">
        <v>11542</v>
      </c>
    </row>
    <row r="13" spans="1:4">
      <c r="A13" s="5" t="s">
        <v>27</v>
      </c>
      <c r="B13">
        <v>3573</v>
      </c>
      <c r="C13">
        <v>2316</v>
      </c>
      <c r="D13">
        <v>4092</v>
      </c>
    </row>
    <row r="14" spans="1:4">
      <c r="A14" s="5" t="s">
        <v>28</v>
      </c>
      <c r="B14">
        <v>3532</v>
      </c>
      <c r="C14">
        <v>3182</v>
      </c>
      <c r="D14">
        <v>3878</v>
      </c>
    </row>
    <row r="15" spans="1:4">
      <c r="A15" s="5" t="s">
        <v>29</v>
      </c>
      <c r="B15">
        <v>3516</v>
      </c>
      <c r="C15">
        <v>4273</v>
      </c>
      <c r="D15">
        <v>3572</v>
      </c>
    </row>
    <row r="16" spans="1:4">
      <c r="A16" s="3" t="s">
        <v>16</v>
      </c>
      <c r="B16">
        <v>25423</v>
      </c>
      <c r="C16">
        <v>29247</v>
      </c>
      <c r="D16">
        <v>27072</v>
      </c>
    </row>
    <row r="17" spans="1:4">
      <c r="A17" s="4" t="s">
        <v>26</v>
      </c>
      <c r="B17">
        <v>7834</v>
      </c>
      <c r="C17">
        <v>11080</v>
      </c>
      <c r="D17">
        <v>9661</v>
      </c>
    </row>
    <row r="18" spans="1:4">
      <c r="A18" s="5" t="s">
        <v>30</v>
      </c>
      <c r="B18">
        <v>1693</v>
      </c>
      <c r="C18">
        <v>4052</v>
      </c>
      <c r="D18">
        <v>2807</v>
      </c>
    </row>
    <row r="19" spans="1:4">
      <c r="A19" s="5" t="s">
        <v>31</v>
      </c>
      <c r="B19">
        <v>2752</v>
      </c>
      <c r="C19">
        <v>2730</v>
      </c>
      <c r="D19">
        <v>1815</v>
      </c>
    </row>
    <row r="20" spans="1:4">
      <c r="A20" s="5" t="s">
        <v>32</v>
      </c>
      <c r="B20">
        <v>3389</v>
      </c>
      <c r="C20">
        <v>4298</v>
      </c>
      <c r="D20">
        <v>5039</v>
      </c>
    </row>
    <row r="21" spans="1:4">
      <c r="A21" s="4" t="s">
        <v>17</v>
      </c>
      <c r="B21">
        <v>9418</v>
      </c>
      <c r="C21">
        <v>10886</v>
      </c>
      <c r="D21">
        <v>10249</v>
      </c>
    </row>
    <row r="22" spans="1:4">
      <c r="A22" s="5" t="s">
        <v>33</v>
      </c>
      <c r="B22">
        <v>3363</v>
      </c>
      <c r="C22">
        <v>3416</v>
      </c>
      <c r="D22">
        <v>3834</v>
      </c>
    </row>
    <row r="23" spans="1:4">
      <c r="A23" s="5" t="s">
        <v>34</v>
      </c>
      <c r="B23">
        <v>3468</v>
      </c>
      <c r="C23">
        <v>3663</v>
      </c>
      <c r="D23">
        <v>2801</v>
      </c>
    </row>
    <row r="24" spans="1:4">
      <c r="A24" s="5" t="s">
        <v>20</v>
      </c>
      <c r="B24">
        <v>2587</v>
      </c>
      <c r="C24">
        <v>3807</v>
      </c>
      <c r="D24">
        <v>3614</v>
      </c>
    </row>
    <row r="25" spans="1:4">
      <c r="A25" s="4" t="s">
        <v>18</v>
      </c>
      <c r="B25">
        <v>8171</v>
      </c>
      <c r="C25">
        <v>7281</v>
      </c>
      <c r="D25">
        <v>7162</v>
      </c>
    </row>
    <row r="26" spans="1:4">
      <c r="A26" s="5" t="s">
        <v>21</v>
      </c>
      <c r="B26">
        <v>3623</v>
      </c>
      <c r="C26">
        <v>3347</v>
      </c>
      <c r="D26">
        <v>4283</v>
      </c>
    </row>
    <row r="27" spans="1:4">
      <c r="A27" s="5" t="s">
        <v>22</v>
      </c>
      <c r="B27">
        <v>2856</v>
      </c>
      <c r="C27">
        <v>3016</v>
      </c>
      <c r="D27">
        <v>2629</v>
      </c>
    </row>
    <row r="28" spans="1:4">
      <c r="A28" s="5" t="s">
        <v>23</v>
      </c>
      <c r="B28">
        <v>1692</v>
      </c>
      <c r="C28">
        <v>918</v>
      </c>
      <c r="D28">
        <v>250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DB406-789B-44F0-AF21-EEFA25F829CA}">
  <dimension ref="A1:S44"/>
  <sheetViews>
    <sheetView showGridLines="0" tabSelected="1" zoomScale="98" zoomScaleNormal="98" workbookViewId="0">
      <selection activeCell="N4" sqref="N4"/>
    </sheetView>
  </sheetViews>
  <sheetFormatPr defaultRowHeight="14.4"/>
  <sheetData>
    <row r="1" spans="1:19">
      <c r="A1" s="24" t="s">
        <v>35</v>
      </c>
      <c r="B1" s="24"/>
      <c r="C1" s="24"/>
      <c r="D1" s="24"/>
      <c r="E1" s="24"/>
      <c r="F1" s="24"/>
      <c r="G1" s="24"/>
      <c r="H1" s="24"/>
      <c r="I1" s="24"/>
      <c r="J1" s="24"/>
      <c r="K1" s="24"/>
      <c r="L1" s="24"/>
      <c r="M1" s="24"/>
      <c r="N1" s="24"/>
      <c r="O1" s="24"/>
      <c r="P1" s="24"/>
      <c r="Q1" s="24"/>
      <c r="R1" s="24"/>
      <c r="S1" s="24"/>
    </row>
    <row r="2" spans="1:19">
      <c r="A2" s="24"/>
      <c r="B2" s="24"/>
      <c r="C2" s="24"/>
      <c r="D2" s="24"/>
      <c r="E2" s="24"/>
      <c r="F2" s="24"/>
      <c r="G2" s="24"/>
      <c r="H2" s="24"/>
      <c r="I2" s="24"/>
      <c r="J2" s="24"/>
      <c r="K2" s="24"/>
      <c r="L2" s="24"/>
      <c r="M2" s="24"/>
      <c r="N2" s="24"/>
      <c r="O2" s="24"/>
      <c r="P2" s="24"/>
      <c r="Q2" s="24"/>
      <c r="R2" s="24"/>
      <c r="S2" s="24"/>
    </row>
    <row r="3" spans="1:19">
      <c r="A3" s="24"/>
      <c r="B3" s="24"/>
      <c r="C3" s="24"/>
      <c r="D3" s="24"/>
      <c r="E3" s="24"/>
      <c r="F3" s="24"/>
      <c r="G3" s="24"/>
      <c r="H3" s="24"/>
      <c r="I3" s="24"/>
      <c r="J3" s="24"/>
      <c r="K3" s="24"/>
      <c r="L3" s="24"/>
      <c r="M3" s="24"/>
      <c r="N3" s="24"/>
      <c r="O3" s="24"/>
      <c r="P3" s="24"/>
      <c r="Q3" s="24"/>
      <c r="R3" s="24"/>
      <c r="S3" s="24"/>
    </row>
    <row r="4" spans="1:19">
      <c r="A4" s="6"/>
      <c r="B4" s="6"/>
      <c r="C4" s="6"/>
      <c r="D4" s="6"/>
      <c r="E4" s="6"/>
      <c r="F4" s="6"/>
      <c r="G4" s="6"/>
      <c r="H4" s="6"/>
      <c r="I4" s="6"/>
      <c r="J4" s="6"/>
      <c r="K4" s="6"/>
      <c r="L4" s="6"/>
      <c r="M4" s="6"/>
      <c r="N4" s="6"/>
      <c r="O4" s="6"/>
      <c r="P4" s="6"/>
      <c r="Q4" s="6"/>
      <c r="R4" s="6"/>
      <c r="S4" s="6"/>
    </row>
    <row r="5" spans="1:19">
      <c r="A5" s="6"/>
      <c r="B5" s="6"/>
      <c r="C5" s="6"/>
      <c r="D5" s="6"/>
      <c r="E5" s="6"/>
      <c r="F5" s="6"/>
      <c r="G5" s="6"/>
      <c r="H5" s="6"/>
      <c r="I5" s="6"/>
      <c r="J5" s="6"/>
      <c r="K5" s="6"/>
      <c r="L5" s="6"/>
      <c r="M5" s="6"/>
      <c r="N5" s="6"/>
      <c r="O5" s="6"/>
      <c r="P5" s="6"/>
      <c r="Q5" s="6"/>
      <c r="R5" s="6"/>
      <c r="S5" s="6"/>
    </row>
    <row r="6" spans="1:19">
      <c r="A6" s="6"/>
      <c r="B6" s="6"/>
      <c r="C6" s="6"/>
      <c r="D6" s="6"/>
      <c r="E6" s="6"/>
      <c r="F6" s="6"/>
      <c r="G6" s="6"/>
      <c r="H6" s="6"/>
      <c r="I6" s="6"/>
      <c r="J6" s="6"/>
      <c r="K6" s="6"/>
      <c r="L6" s="6"/>
      <c r="M6" s="6"/>
      <c r="N6" s="6"/>
      <c r="O6" s="6"/>
      <c r="P6" s="6"/>
      <c r="Q6" s="6"/>
      <c r="R6" s="6"/>
      <c r="S6" s="6"/>
    </row>
    <row r="7" spans="1:19">
      <c r="A7" s="6"/>
      <c r="B7" s="6"/>
      <c r="C7" s="6"/>
      <c r="D7" s="6"/>
      <c r="E7" s="6"/>
      <c r="F7" s="6"/>
      <c r="G7" s="6"/>
      <c r="H7" s="6"/>
      <c r="I7" s="6"/>
      <c r="J7" s="6"/>
      <c r="K7" s="6"/>
      <c r="L7" s="6"/>
      <c r="M7" s="6"/>
      <c r="N7" s="6"/>
      <c r="O7" s="6"/>
      <c r="P7" s="6"/>
      <c r="Q7" s="6"/>
      <c r="R7" s="6"/>
      <c r="S7" s="6"/>
    </row>
    <row r="8" spans="1:19">
      <c r="A8" s="6"/>
      <c r="B8" s="6"/>
      <c r="C8" s="6"/>
      <c r="D8" s="6"/>
      <c r="E8" s="6"/>
      <c r="F8" s="6"/>
      <c r="G8" s="6"/>
      <c r="H8" s="6"/>
      <c r="I8" s="6"/>
      <c r="J8" s="6"/>
      <c r="K8" s="6"/>
      <c r="L8" s="6"/>
      <c r="M8" s="6"/>
      <c r="N8" s="6"/>
      <c r="O8" s="6"/>
      <c r="P8" s="6"/>
      <c r="Q8" s="6"/>
      <c r="R8" s="6"/>
      <c r="S8" s="6"/>
    </row>
    <row r="9" spans="1:19">
      <c r="A9" s="6"/>
      <c r="B9" s="6"/>
      <c r="C9" s="6"/>
      <c r="D9" s="6"/>
      <c r="E9" s="6"/>
      <c r="F9" s="6"/>
      <c r="G9" s="6"/>
      <c r="H9" s="6"/>
      <c r="I9" s="6"/>
      <c r="J9" s="6"/>
      <c r="K9" s="6"/>
      <c r="L9" s="6"/>
      <c r="M9" s="6"/>
      <c r="N9" s="6"/>
      <c r="O9" s="6"/>
      <c r="P9" s="6"/>
      <c r="Q9" s="6"/>
      <c r="R9" s="6"/>
      <c r="S9" s="6"/>
    </row>
    <row r="10" spans="1:19">
      <c r="A10" s="6"/>
      <c r="B10" s="6"/>
      <c r="C10" s="6"/>
      <c r="D10" s="6"/>
      <c r="E10" s="6"/>
      <c r="F10" s="6"/>
      <c r="G10" s="6"/>
      <c r="H10" s="6"/>
      <c r="I10" s="6"/>
      <c r="J10" s="6"/>
      <c r="K10" s="6"/>
      <c r="L10" s="6"/>
      <c r="M10" s="6"/>
      <c r="N10" s="6"/>
      <c r="O10" s="6"/>
      <c r="P10" s="6"/>
      <c r="Q10" s="6"/>
      <c r="R10" s="6"/>
      <c r="S10" s="6"/>
    </row>
    <row r="11" spans="1:19">
      <c r="A11" s="6"/>
      <c r="B11" s="6"/>
      <c r="C11" s="6"/>
      <c r="D11" s="6"/>
      <c r="E11" s="6"/>
      <c r="F11" s="6"/>
      <c r="G11" s="6"/>
      <c r="H11" s="6"/>
      <c r="I11" s="6"/>
      <c r="J11" s="6"/>
      <c r="K11" s="6"/>
      <c r="L11" s="6"/>
      <c r="M11" s="6"/>
      <c r="N11" s="6"/>
      <c r="O11" s="6"/>
      <c r="P11" s="6"/>
      <c r="Q11" s="6"/>
      <c r="R11" s="6"/>
      <c r="S11" s="6"/>
    </row>
    <row r="12" spans="1:19">
      <c r="A12" s="6"/>
      <c r="B12" s="6"/>
      <c r="C12" s="6"/>
      <c r="D12" s="6"/>
      <c r="E12" s="6"/>
      <c r="F12" s="6"/>
      <c r="G12" s="6"/>
      <c r="H12" s="6"/>
      <c r="I12" s="6"/>
      <c r="J12" s="6"/>
      <c r="K12" s="6"/>
      <c r="L12" s="6"/>
      <c r="M12" s="6"/>
      <c r="N12" s="6"/>
      <c r="O12" s="6"/>
      <c r="P12" s="6"/>
      <c r="Q12" s="6"/>
      <c r="R12" s="6"/>
      <c r="S12" s="6"/>
    </row>
    <row r="13" spans="1:19">
      <c r="A13" s="6"/>
      <c r="B13" s="6"/>
      <c r="C13" s="6"/>
      <c r="D13" s="6"/>
      <c r="E13" s="6"/>
      <c r="F13" s="6"/>
      <c r="G13" s="6"/>
      <c r="H13" s="6"/>
      <c r="I13" s="6"/>
      <c r="J13" s="6"/>
      <c r="K13" s="6"/>
      <c r="L13" s="6"/>
      <c r="M13" s="6"/>
      <c r="N13" s="6"/>
      <c r="O13" s="6"/>
      <c r="P13" s="6"/>
      <c r="Q13" s="6"/>
      <c r="R13" s="6"/>
      <c r="S13" s="6"/>
    </row>
    <row r="14" spans="1:19">
      <c r="A14" s="6"/>
      <c r="B14" s="6"/>
      <c r="C14" s="6"/>
      <c r="D14" s="6"/>
      <c r="E14" s="6"/>
      <c r="F14" s="6"/>
      <c r="G14" s="6"/>
      <c r="H14" s="6"/>
      <c r="I14" s="6"/>
      <c r="J14" s="6"/>
      <c r="K14" s="6"/>
      <c r="L14" s="6"/>
      <c r="M14" s="6"/>
      <c r="N14" s="6"/>
      <c r="O14" s="6"/>
      <c r="P14" s="6"/>
      <c r="Q14" s="6"/>
      <c r="R14" s="6"/>
      <c r="S14" s="6"/>
    </row>
    <row r="15" spans="1:19">
      <c r="A15" s="6"/>
      <c r="B15" s="6"/>
      <c r="C15" s="6"/>
      <c r="D15" s="6"/>
      <c r="E15" s="6"/>
      <c r="F15" s="6"/>
      <c r="G15" s="6"/>
      <c r="H15" s="6"/>
      <c r="I15" s="6"/>
      <c r="J15" s="6"/>
      <c r="K15" s="6"/>
      <c r="L15" s="6"/>
      <c r="M15" s="6"/>
      <c r="N15" s="6"/>
      <c r="O15" s="6"/>
      <c r="P15" s="6"/>
      <c r="Q15" s="6"/>
      <c r="R15" s="6"/>
      <c r="S15" s="6"/>
    </row>
    <row r="16" spans="1:19">
      <c r="A16" s="6"/>
      <c r="B16" s="6"/>
      <c r="C16" s="6"/>
      <c r="D16" s="6"/>
      <c r="E16" s="6"/>
      <c r="F16" s="6"/>
      <c r="G16" s="6"/>
      <c r="H16" s="6"/>
      <c r="I16" s="6"/>
      <c r="J16" s="6"/>
      <c r="K16" s="6"/>
      <c r="L16" s="6"/>
      <c r="M16" s="6"/>
      <c r="N16" s="6"/>
      <c r="O16" s="6"/>
      <c r="P16" s="6"/>
      <c r="Q16" s="6"/>
      <c r="R16" s="6"/>
      <c r="S16" s="6"/>
    </row>
    <row r="17" spans="1:19">
      <c r="A17" s="6"/>
      <c r="B17" s="6"/>
      <c r="C17" s="6"/>
      <c r="D17" s="6"/>
      <c r="E17" s="6"/>
      <c r="F17" s="6"/>
      <c r="G17" s="6"/>
      <c r="H17" s="6"/>
      <c r="I17" s="6"/>
      <c r="J17" s="6"/>
      <c r="K17" s="6"/>
      <c r="L17" s="6"/>
      <c r="M17" s="6"/>
      <c r="N17" s="6"/>
      <c r="O17" s="6"/>
      <c r="P17" s="6"/>
      <c r="Q17" s="6"/>
      <c r="R17" s="6"/>
      <c r="S17" s="6"/>
    </row>
    <row r="18" spans="1:19">
      <c r="A18" s="6"/>
      <c r="B18" s="6"/>
      <c r="C18" s="6"/>
      <c r="D18" s="6"/>
      <c r="E18" s="6"/>
      <c r="F18" s="6"/>
      <c r="G18" s="6"/>
      <c r="H18" s="6"/>
      <c r="I18" s="6"/>
      <c r="J18" s="6"/>
      <c r="K18" s="6"/>
      <c r="L18" s="6"/>
      <c r="M18" s="6"/>
      <c r="N18" s="6"/>
      <c r="O18" s="6"/>
      <c r="P18" s="6"/>
      <c r="Q18" s="6"/>
      <c r="R18" s="6"/>
      <c r="S18" s="6"/>
    </row>
    <row r="19" spans="1:19">
      <c r="A19" s="6"/>
      <c r="B19" s="6"/>
      <c r="C19" s="6"/>
      <c r="D19" s="6"/>
      <c r="E19" s="6"/>
      <c r="F19" s="6"/>
      <c r="G19" s="6"/>
      <c r="H19" s="6"/>
      <c r="I19" s="6"/>
      <c r="J19" s="6"/>
      <c r="K19" s="6"/>
      <c r="L19" s="6"/>
      <c r="M19" s="6"/>
      <c r="N19" s="6"/>
      <c r="O19" s="6"/>
      <c r="P19" s="6"/>
      <c r="Q19" s="6"/>
      <c r="R19" s="6"/>
      <c r="S19" s="6"/>
    </row>
    <row r="20" spans="1:19">
      <c r="A20" s="6"/>
      <c r="B20" s="6"/>
      <c r="C20" s="6"/>
      <c r="D20" s="6"/>
      <c r="E20" s="6"/>
      <c r="F20" s="6"/>
      <c r="G20" s="6"/>
      <c r="H20" s="6"/>
      <c r="I20" s="6"/>
      <c r="J20" s="6"/>
      <c r="K20" s="6"/>
      <c r="L20" s="6"/>
      <c r="M20" s="6"/>
      <c r="N20" s="6"/>
      <c r="O20" s="6"/>
      <c r="P20" s="6"/>
      <c r="Q20" s="6"/>
      <c r="R20" s="6"/>
      <c r="S20" s="6"/>
    </row>
    <row r="21" spans="1:19">
      <c r="A21" s="6"/>
      <c r="B21" s="6"/>
      <c r="C21" s="6"/>
      <c r="D21" s="6"/>
      <c r="E21" s="6"/>
      <c r="F21" s="6"/>
      <c r="G21" s="6"/>
      <c r="H21" s="6"/>
      <c r="I21" s="6"/>
      <c r="J21" s="6"/>
      <c r="K21" s="6"/>
      <c r="L21" s="6"/>
      <c r="M21" s="6"/>
      <c r="N21" s="6"/>
      <c r="O21" s="6"/>
      <c r="P21" s="6"/>
      <c r="Q21" s="6"/>
      <c r="R21" s="6"/>
      <c r="S21" s="6"/>
    </row>
    <row r="22" spans="1:19">
      <c r="A22" s="6"/>
      <c r="B22" s="6"/>
      <c r="C22" s="6"/>
      <c r="D22" s="6"/>
      <c r="E22" s="6"/>
      <c r="F22" s="6"/>
      <c r="G22" s="6"/>
      <c r="H22" s="6"/>
      <c r="I22" s="6"/>
      <c r="J22" s="6"/>
      <c r="K22" s="6"/>
      <c r="L22" s="6"/>
      <c r="M22" s="6"/>
      <c r="N22" s="6"/>
      <c r="O22" s="6"/>
      <c r="P22" s="6"/>
      <c r="Q22" s="6"/>
      <c r="R22" s="6"/>
      <c r="S22" s="6"/>
    </row>
    <row r="23" spans="1:19">
      <c r="A23" s="6"/>
      <c r="B23" s="6"/>
      <c r="C23" s="6"/>
      <c r="D23" s="6"/>
      <c r="E23" s="6"/>
      <c r="F23" s="6"/>
      <c r="G23" s="6"/>
      <c r="H23" s="6"/>
      <c r="I23" s="6"/>
      <c r="J23" s="6"/>
      <c r="K23" s="6"/>
      <c r="L23" s="6"/>
      <c r="M23" s="6"/>
      <c r="N23" s="6"/>
      <c r="O23" s="6"/>
      <c r="P23" s="6"/>
      <c r="Q23" s="6"/>
      <c r="R23" s="6"/>
      <c r="S23" s="6"/>
    </row>
    <row r="24" spans="1:19">
      <c r="A24" s="6"/>
      <c r="B24" s="6"/>
      <c r="C24" s="6"/>
      <c r="D24" s="6"/>
      <c r="E24" s="6"/>
      <c r="F24" s="6"/>
      <c r="G24" s="6"/>
      <c r="H24" s="6"/>
      <c r="I24" s="6"/>
      <c r="J24" s="6"/>
      <c r="K24" s="6"/>
      <c r="L24" s="6"/>
      <c r="M24" s="6"/>
      <c r="N24" s="6"/>
      <c r="O24" s="6"/>
      <c r="P24" s="6"/>
      <c r="Q24" s="6"/>
      <c r="R24" s="6"/>
      <c r="S24" s="6"/>
    </row>
    <row r="25" spans="1:19">
      <c r="A25" s="6"/>
      <c r="B25" s="6"/>
      <c r="C25" s="6"/>
      <c r="D25" s="6"/>
      <c r="E25" s="6"/>
      <c r="F25" s="6"/>
      <c r="G25" s="6"/>
      <c r="H25" s="6"/>
      <c r="I25" s="6"/>
      <c r="J25" s="6"/>
      <c r="K25" s="6"/>
      <c r="L25" s="6"/>
      <c r="M25" s="6"/>
      <c r="N25" s="6"/>
      <c r="O25" s="6"/>
      <c r="P25" s="6"/>
      <c r="Q25" s="6"/>
      <c r="R25" s="6"/>
      <c r="S25" s="6"/>
    </row>
    <row r="26" spans="1:19">
      <c r="A26" s="6"/>
      <c r="B26" s="6"/>
      <c r="C26" s="6"/>
      <c r="D26" s="6"/>
      <c r="E26" s="6"/>
      <c r="F26" s="6"/>
      <c r="G26" s="6"/>
      <c r="H26" s="6"/>
      <c r="I26" s="6"/>
      <c r="J26" s="6"/>
      <c r="K26" s="6"/>
      <c r="L26" s="6"/>
      <c r="M26" s="6"/>
      <c r="N26" s="6"/>
      <c r="O26" s="6"/>
      <c r="P26" s="6"/>
      <c r="Q26" s="6"/>
      <c r="R26" s="6"/>
      <c r="S26" s="6"/>
    </row>
    <row r="27" spans="1:19">
      <c r="A27" s="6"/>
      <c r="B27" s="6"/>
      <c r="C27" s="6"/>
      <c r="D27" s="6"/>
      <c r="E27" s="6"/>
      <c r="F27" s="6"/>
      <c r="G27" s="6"/>
      <c r="H27" s="6"/>
      <c r="I27" s="6"/>
      <c r="J27" s="6"/>
      <c r="K27" s="6"/>
      <c r="L27" s="6"/>
      <c r="M27" s="6"/>
      <c r="N27" s="6"/>
      <c r="O27" s="6"/>
      <c r="P27" s="6"/>
      <c r="Q27" s="6"/>
      <c r="R27" s="6"/>
      <c r="S27" s="6"/>
    </row>
    <row r="28" spans="1:19">
      <c r="A28" s="6"/>
      <c r="B28" s="6"/>
      <c r="C28" s="6"/>
      <c r="D28" s="6"/>
      <c r="E28" s="6"/>
      <c r="F28" s="6"/>
      <c r="G28" s="6"/>
      <c r="H28" s="6"/>
      <c r="I28" s="6"/>
      <c r="J28" s="6"/>
      <c r="K28" s="6"/>
      <c r="L28" s="6"/>
      <c r="M28" s="6"/>
      <c r="N28" s="6"/>
      <c r="O28" s="6"/>
      <c r="P28" s="6"/>
      <c r="Q28" s="6"/>
      <c r="R28" s="6"/>
      <c r="S28" s="6"/>
    </row>
    <row r="29" spans="1:19">
      <c r="A29" s="6"/>
      <c r="B29" s="6"/>
      <c r="C29" s="6"/>
      <c r="D29" s="6"/>
      <c r="E29" s="6"/>
      <c r="F29" s="6"/>
      <c r="G29" s="6"/>
      <c r="H29" s="6"/>
      <c r="I29" s="6"/>
      <c r="J29" s="6"/>
      <c r="K29" s="6"/>
      <c r="L29" s="6"/>
      <c r="M29" s="6"/>
      <c r="N29" s="6"/>
      <c r="O29" s="6"/>
      <c r="P29" s="6"/>
      <c r="Q29" s="6"/>
      <c r="R29" s="6"/>
      <c r="S29" s="6"/>
    </row>
    <row r="30" spans="1:19">
      <c r="A30" s="6"/>
      <c r="B30" s="6"/>
      <c r="C30" s="6"/>
      <c r="D30" s="6"/>
      <c r="E30" s="6"/>
      <c r="F30" s="6"/>
      <c r="G30" s="6"/>
      <c r="H30" s="6"/>
      <c r="I30" s="6"/>
      <c r="J30" s="6"/>
      <c r="K30" s="6"/>
      <c r="L30" s="6"/>
      <c r="M30" s="6"/>
      <c r="N30" s="6"/>
      <c r="O30" s="6"/>
      <c r="P30" s="6"/>
      <c r="Q30" s="6"/>
      <c r="R30" s="6"/>
      <c r="S30" s="6"/>
    </row>
    <row r="31" spans="1:19">
      <c r="A31" s="6"/>
      <c r="B31" s="6"/>
      <c r="C31" s="6"/>
      <c r="D31" s="6"/>
      <c r="E31" s="6"/>
      <c r="F31" s="6"/>
      <c r="G31" s="6"/>
      <c r="H31" s="6"/>
      <c r="I31" s="6"/>
      <c r="J31" s="6"/>
      <c r="K31" s="6"/>
      <c r="L31" s="6"/>
      <c r="M31" s="6"/>
      <c r="N31" s="6"/>
      <c r="O31" s="6"/>
      <c r="P31" s="6"/>
      <c r="Q31" s="6"/>
      <c r="R31" s="6"/>
      <c r="S31" s="6"/>
    </row>
    <row r="32" spans="1:19">
      <c r="A32" s="6"/>
      <c r="B32" s="6"/>
      <c r="C32" s="6"/>
      <c r="D32" s="6"/>
      <c r="E32" s="6"/>
      <c r="F32" s="6"/>
      <c r="G32" s="6"/>
      <c r="H32" s="6"/>
      <c r="I32" s="6"/>
      <c r="J32" s="6"/>
      <c r="K32" s="6"/>
      <c r="L32" s="6"/>
      <c r="M32" s="6"/>
      <c r="N32" s="6"/>
      <c r="O32" s="6"/>
      <c r="P32" s="6"/>
      <c r="Q32" s="6"/>
      <c r="R32" s="6"/>
      <c r="S32" s="6"/>
    </row>
    <row r="33" spans="1:19">
      <c r="A33" s="6"/>
      <c r="B33" s="6"/>
      <c r="C33" s="6"/>
      <c r="D33" s="6"/>
      <c r="E33" s="6"/>
      <c r="F33" s="6"/>
      <c r="G33" s="6"/>
      <c r="H33" s="6"/>
      <c r="I33" s="6"/>
      <c r="J33" s="6"/>
      <c r="K33" s="6"/>
      <c r="L33" s="6"/>
      <c r="M33" s="6"/>
      <c r="N33" s="6"/>
      <c r="O33" s="6"/>
      <c r="P33" s="6"/>
      <c r="Q33" s="6"/>
      <c r="R33" s="6"/>
      <c r="S33" s="6"/>
    </row>
    <row r="34" spans="1:19">
      <c r="A34" s="6"/>
      <c r="B34" s="6"/>
      <c r="C34" s="6"/>
      <c r="D34" s="6"/>
      <c r="E34" s="6"/>
      <c r="F34" s="6"/>
      <c r="G34" s="6"/>
      <c r="H34" s="6"/>
      <c r="I34" s="6"/>
      <c r="J34" s="6"/>
      <c r="K34" s="6"/>
      <c r="L34" s="6"/>
      <c r="M34" s="6"/>
      <c r="N34" s="6"/>
      <c r="O34" s="6"/>
      <c r="P34" s="6"/>
      <c r="Q34" s="6"/>
      <c r="R34" s="6"/>
      <c r="S34" s="6"/>
    </row>
    <row r="35" spans="1:19">
      <c r="A35" s="6"/>
      <c r="B35" s="6"/>
      <c r="C35" s="6"/>
      <c r="D35" s="6"/>
      <c r="E35" s="6"/>
      <c r="F35" s="6"/>
      <c r="G35" s="6"/>
      <c r="H35" s="6"/>
      <c r="I35" s="6"/>
      <c r="J35" s="6"/>
      <c r="K35" s="6"/>
      <c r="L35" s="6"/>
      <c r="M35" s="6"/>
      <c r="N35" s="6"/>
      <c r="O35" s="6"/>
      <c r="P35" s="6"/>
      <c r="Q35" s="6"/>
      <c r="R35" s="6"/>
      <c r="S35" s="6"/>
    </row>
    <row r="36" spans="1:19">
      <c r="A36" s="6"/>
      <c r="B36" s="6"/>
      <c r="C36" s="6"/>
      <c r="D36" s="6"/>
      <c r="E36" s="6"/>
      <c r="F36" s="6"/>
      <c r="G36" s="6"/>
      <c r="H36" s="6"/>
      <c r="I36" s="6"/>
      <c r="J36" s="6"/>
      <c r="K36" s="6"/>
      <c r="L36" s="6"/>
      <c r="M36" s="6"/>
      <c r="N36" s="6"/>
      <c r="O36" s="6"/>
      <c r="P36" s="6"/>
      <c r="Q36" s="6"/>
      <c r="R36" s="6"/>
      <c r="S36" s="6"/>
    </row>
    <row r="37" spans="1:19">
      <c r="A37" s="6"/>
      <c r="B37" s="6"/>
      <c r="C37" s="6"/>
      <c r="D37" s="6"/>
      <c r="E37" s="6"/>
      <c r="F37" s="6"/>
      <c r="G37" s="6"/>
      <c r="H37" s="6"/>
      <c r="I37" s="6"/>
      <c r="J37" s="6"/>
      <c r="K37" s="6"/>
      <c r="L37" s="6"/>
      <c r="M37" s="6"/>
      <c r="N37" s="6"/>
      <c r="O37" s="6"/>
      <c r="P37" s="6"/>
      <c r="Q37" s="6"/>
      <c r="R37" s="6"/>
      <c r="S37" s="6"/>
    </row>
    <row r="38" spans="1:19">
      <c r="A38" s="6"/>
      <c r="B38" s="6"/>
      <c r="C38" s="6"/>
      <c r="D38" s="6"/>
      <c r="E38" s="6"/>
      <c r="F38" s="6"/>
      <c r="G38" s="6"/>
      <c r="H38" s="6"/>
      <c r="I38" s="6"/>
      <c r="J38" s="6"/>
      <c r="K38" s="6"/>
      <c r="L38" s="6"/>
      <c r="M38" s="6"/>
      <c r="N38" s="6"/>
      <c r="O38" s="6"/>
      <c r="P38" s="6"/>
      <c r="Q38" s="6"/>
      <c r="R38" s="6"/>
      <c r="S38" s="6"/>
    </row>
    <row r="39" spans="1:19">
      <c r="A39" s="6"/>
      <c r="B39" s="6"/>
      <c r="C39" s="6"/>
      <c r="D39" s="6"/>
      <c r="E39" s="6"/>
      <c r="F39" s="6"/>
      <c r="G39" s="6"/>
      <c r="H39" s="6"/>
      <c r="I39" s="6"/>
      <c r="J39" s="6"/>
      <c r="K39" s="6"/>
      <c r="L39" s="6"/>
      <c r="M39" s="6"/>
      <c r="N39" s="6"/>
      <c r="O39" s="6"/>
      <c r="P39" s="6"/>
      <c r="Q39" s="6"/>
      <c r="R39" s="6"/>
      <c r="S39" s="6"/>
    </row>
    <row r="40" spans="1:19">
      <c r="A40" s="6"/>
      <c r="B40" s="6"/>
      <c r="C40" s="6"/>
      <c r="D40" s="6"/>
      <c r="E40" s="6"/>
      <c r="F40" s="6"/>
      <c r="G40" s="6"/>
      <c r="H40" s="6"/>
      <c r="I40" s="6"/>
      <c r="J40" s="6"/>
      <c r="K40" s="6"/>
      <c r="L40" s="6"/>
      <c r="M40" s="6"/>
      <c r="N40" s="6"/>
      <c r="O40" s="6"/>
      <c r="P40" s="6"/>
      <c r="Q40" s="6"/>
      <c r="R40" s="6"/>
      <c r="S40" s="6"/>
    </row>
    <row r="41" spans="1:19">
      <c r="A41" s="6"/>
      <c r="B41" s="6"/>
      <c r="C41" s="6"/>
      <c r="D41" s="6"/>
      <c r="E41" s="6"/>
      <c r="F41" s="6"/>
      <c r="G41" s="6"/>
      <c r="H41" s="6"/>
      <c r="I41" s="6"/>
      <c r="J41" s="6"/>
      <c r="K41" s="6"/>
      <c r="L41" s="6"/>
      <c r="M41" s="6"/>
      <c r="N41" s="6"/>
      <c r="O41" s="6"/>
      <c r="P41" s="6"/>
      <c r="Q41" s="6"/>
      <c r="R41" s="6"/>
      <c r="S41" s="6"/>
    </row>
    <row r="42" spans="1:19">
      <c r="A42" s="6"/>
      <c r="B42" s="6"/>
      <c r="C42" s="6"/>
      <c r="D42" s="6"/>
      <c r="E42" s="6"/>
      <c r="F42" s="6"/>
      <c r="G42" s="6"/>
      <c r="H42" s="6"/>
      <c r="I42" s="6"/>
      <c r="J42" s="6"/>
      <c r="K42" s="6"/>
      <c r="L42" s="6"/>
      <c r="M42" s="6"/>
      <c r="N42" s="6"/>
      <c r="O42" s="6"/>
      <c r="P42" s="6"/>
      <c r="Q42" s="6"/>
      <c r="R42" s="6"/>
      <c r="S42" s="6"/>
    </row>
    <row r="43" spans="1:19">
      <c r="A43" s="6"/>
      <c r="B43" s="6"/>
      <c r="C43" s="6"/>
      <c r="D43" s="6"/>
      <c r="E43" s="6"/>
      <c r="F43" s="6"/>
      <c r="G43" s="6"/>
      <c r="H43" s="6"/>
      <c r="I43" s="6"/>
      <c r="J43" s="6"/>
      <c r="K43" s="6"/>
      <c r="L43" s="6"/>
      <c r="M43" s="6"/>
      <c r="N43" s="6"/>
      <c r="O43" s="6"/>
      <c r="P43" s="6"/>
      <c r="Q43" s="6"/>
      <c r="R43" s="6"/>
      <c r="S43" s="6"/>
    </row>
    <row r="44" spans="1:19">
      <c r="A44" s="6"/>
      <c r="B44" s="6"/>
      <c r="C44" s="6"/>
      <c r="D44" s="6"/>
      <c r="E44" s="6"/>
      <c r="F44" s="6"/>
      <c r="G44" s="6"/>
      <c r="H44" s="6"/>
      <c r="I44" s="6"/>
      <c r="J44" s="6"/>
      <c r="K44" s="6"/>
      <c r="L44" s="6"/>
      <c r="M44" s="6"/>
      <c r="N44" s="6"/>
      <c r="O44" s="6"/>
      <c r="P44" s="6"/>
      <c r="Q44" s="6"/>
      <c r="R44" s="6"/>
      <c r="S44" s="6"/>
    </row>
  </sheetData>
  <mergeCells count="1">
    <mergeCell ref="A1: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Engagement Summary</vt:lpstr>
      <vt:lpstr>Performing_Platforms</vt:lpstr>
      <vt:lpstr>Visualization</vt:lpstr>
      <vt:lpstr>Follower_Growth</vt:lpstr>
      <vt:lpstr>Data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 JEBBNOLLA</dc:creator>
  <cp:lastModifiedBy>swapna jebbenolla</cp:lastModifiedBy>
  <dcterms:created xsi:type="dcterms:W3CDTF">2026-03-01T12:11:54Z</dcterms:created>
  <dcterms:modified xsi:type="dcterms:W3CDTF">2026-03-22T07:56:32Z</dcterms:modified>
</cp:coreProperties>
</file>