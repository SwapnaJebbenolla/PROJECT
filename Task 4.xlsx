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730ecac6e97b027/New Folder/Excel Projects/"/>
    </mc:Choice>
  </mc:AlternateContent>
  <xr:revisionPtr revIDLastSave="17" documentId="13_ncr:1_{507C6082-21D8-4081-BA17-B8272AE59937}" xr6:coauthVersionLast="47" xr6:coauthVersionMax="47" xr10:uidLastSave="{9E23FE74-F737-46E4-95DE-1E890D87BE0E}"/>
  <bookViews>
    <workbookView xWindow="-108" yWindow="-108" windowWidth="23256" windowHeight="13896" xr2:uid="{00000000-000D-0000-FFFF-FFFF00000000}"/>
  </bookViews>
  <sheets>
    <sheet name="Posts_Hashtag_Split" sheetId="4" r:id="rId1"/>
    <sheet name="Content_Analysis" sheetId="5" r:id="rId2"/>
  </sheets>
  <definedNames>
    <definedName name="ExternalData_1" localSheetId="0" hidden="1">Posts_Hashtag_Split!$A$3:$J$486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4" l="1"/>
  <c r="O18" i="4"/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M18" i="4" l="1" a="1"/>
  <c r="M18" i="4" l="1"/>
  <c r="O19" i="4"/>
  <c r="O20" i="4"/>
  <c r="O21" i="4"/>
  <c r="O22" i="4"/>
  <c r="N22" i="4"/>
  <c r="N21" i="4"/>
  <c r="N20" i="4"/>
  <c r="N1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A27390-7812-47C0-B381-535ACCC8C87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<sst xmlns="http://schemas.openxmlformats.org/spreadsheetml/2006/main" count="1968" uniqueCount="333">
  <si>
    <t>Post ID</t>
  </si>
  <si>
    <t>Platform</t>
  </si>
  <si>
    <t>Date</t>
  </si>
  <si>
    <t>Content Type</t>
  </si>
  <si>
    <t>Likes</t>
  </si>
  <si>
    <t>Shares</t>
  </si>
  <si>
    <t>Comments</t>
  </si>
  <si>
    <t>Impressions</t>
  </si>
  <si>
    <t>Hashtags Used</t>
  </si>
  <si>
    <t>SP001</t>
  </si>
  <si>
    <t>Instagram</t>
  </si>
  <si>
    <t>Text</t>
  </si>
  <si>
    <t>SP002</t>
  </si>
  <si>
    <t>#DiscoverWeekly</t>
  </si>
  <si>
    <t>SP003</t>
  </si>
  <si>
    <t>Twitter</t>
  </si>
  <si>
    <t>Story</t>
  </si>
  <si>
    <t>SP004</t>
  </si>
  <si>
    <t>SP005</t>
  </si>
  <si>
    <t>YouTube</t>
  </si>
  <si>
    <t>SP006</t>
  </si>
  <si>
    <t>SP007</t>
  </si>
  <si>
    <t>SP008</t>
  </si>
  <si>
    <t>SP009</t>
  </si>
  <si>
    <t>#NowPlaying</t>
  </si>
  <si>
    <t>SP010</t>
  </si>
  <si>
    <t>SP011</t>
  </si>
  <si>
    <t>#SoundtrackOfLife</t>
  </si>
  <si>
    <t>SP012</t>
  </si>
  <si>
    <t>SP013</t>
  </si>
  <si>
    <t>SP014</t>
  </si>
  <si>
    <t>SP015</t>
  </si>
  <si>
    <t>SP016</t>
  </si>
  <si>
    <t>SP017</t>
  </si>
  <si>
    <t>SP018</t>
  </si>
  <si>
    <t>SP019</t>
  </si>
  <si>
    <t>Reel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</si>
  <si>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</si>
  <si>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</si>
  <si>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</si>
  <si>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</si>
  <si>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</si>
  <si>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</si>
  <si>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</si>
  <si>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</si>
  <si>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</si>
  <si>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</si>
  <si>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</si>
  <si>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</si>
  <si>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</si>
  <si>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</si>
  <si>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</si>
  <si>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</si>
  <si>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</si>
  <si>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</si>
  <si>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</si>
  <si>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</si>
  <si>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</si>
  <si>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</si>
  <si>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</si>
  <si>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</si>
  <si>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</si>
  <si>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</si>
  <si>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</si>
  <si>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</si>
  <si>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</si>
  <si>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</si>
  <si>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</si>
  <si>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</si>
  <si>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</si>
  <si>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</si>
  <si>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</si>
  <si>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</si>
  <si>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</si>
  <si>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</si>
  <si>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</si>
  <si>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</si>
  <si>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</si>
  <si>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</si>
  <si>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</si>
  <si>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</si>
  <si>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</si>
  <si>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</si>
  <si>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</si>
  <si>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</si>
  <si>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</si>
  <si>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</si>
  <si>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</si>
  <si>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</si>
  <si>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</si>
  <si>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</si>
  <si>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</si>
  <si>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</si>
  <si>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</si>
  <si>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</si>
  <si>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</si>
  <si>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</si>
  <si>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</si>
  <si>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</si>
  <si>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</si>
  <si>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</si>
  <si>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</si>
  <si>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</si>
  <si>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</si>
  <si>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</si>
  <si>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</si>
  <si>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</si>
  <si>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</si>
  <si>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</si>
  <si>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</si>
  <si>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</si>
  <si>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</si>
  <si>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</si>
  <si>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</si>
  <si>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</si>
  <si>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</si>
  <si>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</si>
  <si>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</si>
  <si>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</si>
  <si>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</si>
  <si>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</si>
  <si>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</si>
  <si>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</si>
  <si>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</si>
  <si>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</si>
  <si>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</si>
  <si>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</si>
  <si>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</si>
  <si>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</si>
  <si>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</si>
  <si>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</si>
  <si>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</si>
  <si>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</si>
  <si>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</si>
  <si>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</si>
  <si>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</si>
  <si>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</si>
  <si>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</si>
  <si>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</si>
  <si>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</si>
  <si>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</si>
  <si>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</si>
  <si>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</si>
  <si>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</si>
  <si>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</si>
  <si>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</si>
  <si>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</si>
  <si>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</si>
  <si>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</si>
  <si>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</si>
  <si>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</si>
  <si>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</si>
  <si>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</si>
  <si>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</si>
  <si>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</si>
  <si>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</si>
  <si>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</si>
  <si>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</si>
  <si>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</si>
  <si>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</si>
  <si>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</si>
  <si>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</si>
  <si>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</si>
  <si>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</si>
  <si>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</si>
  <si>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</si>
  <si>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</si>
  <si>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</si>
  <si>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</si>
  <si>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</si>
  <si>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</si>
  <si>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</si>
  <si>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</si>
  <si>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</si>
  <si>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</si>
  <si>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</si>
  <si>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</si>
  <si>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</si>
  <si>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</si>
  <si>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</si>
  <si>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</si>
  <si>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</si>
  <si>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</si>
  <si>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</si>
  <si>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</si>
  <si>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</si>
  <si>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</si>
  <si>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</si>
  <si>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</si>
  <si>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</si>
  <si>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</si>
  <si>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</si>
  <si>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</si>
  <si>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</si>
  <si>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</si>
  <si>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</si>
  <si>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</si>
  <si>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</si>
  <si>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</si>
  <si>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</si>
  <si>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</si>
  <si>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</si>
  <si>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</si>
  <si>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</si>
  <si>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</si>
  <si>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</si>
  <si>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</si>
  <si>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</si>
  <si>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</si>
  <si>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</si>
  <si>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</si>
  <si>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</si>
  <si>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</si>
  <si>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</si>
  <si>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</si>
  <si>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</si>
  <si>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</si>
  <si>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</si>
  <si>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</si>
  <si>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</si>
  <si>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</si>
  <si>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</si>
  <si>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</si>
  <si>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</si>
  <si>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</si>
  <si>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</si>
  <si>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</si>
  <si>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</si>
  <si>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</si>
  <si>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</si>
  <si>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</si>
  <si>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</si>
  <si>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</si>
  <si>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</si>
  <si>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</si>
  <si>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</si>
  <si>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</si>
  <si>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</si>
  <si>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</si>
  <si>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</si>
  <si>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</si>
  <si>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</si>
  <si>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</si>
  <si>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</si>
  <si>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</si>
  <si>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</si>
  <si>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</si>
  <si>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</si>
  <si>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</si>
  <si>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</si>
  <si>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</si>
  <si>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</si>
  <si>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</si>
  <si>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</si>
  <si>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</si>
  <si>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</si>
  <si>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</si>
  <si>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</si>
  <si>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</si>
  <si>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</si>
  <si>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</si>
  <si>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</si>
  <si>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</si>
  <si>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</si>
  <si>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</si>
  <si>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</si>
  <si>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</si>
  <si>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</si>
  <si>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</si>
  <si>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</si>
  <si>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</si>
  <si>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</si>
  <si>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</si>
  <si>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</si>
  <si>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</si>
  <si>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</si>
  <si>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</si>
  <si>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</si>
  <si>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</si>
  <si>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</si>
  <si>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</si>
  <si>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</si>
  <si>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</si>
  <si>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</si>
  <si>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</si>
  <si>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</si>
  <si>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</si>
  <si>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</si>
  <si>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</si>
  <si>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</si>
  <si>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</si>
  <si>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</si>
  <si>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</si>
  <si>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</si>
  <si>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</si>
  <si>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</si>
  <si>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</si>
  <si>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</si>
  <si>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</si>
  <si>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</si>
  <si>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</si>
  <si>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</si>
  <si>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</si>
  <si>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</si>
  <si>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</si>
  <si>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</si>
  <si>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</si>
  <si>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</si>
  <si>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</si>
  <si>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</si>
  <si>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</si>
  <si>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</si>
  <si>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</si>
  <si>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</si>
  <si>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</si>
  <si>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</si>
  <si>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</si>
  <si>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</si>
  <si>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Posts_Hashtag_Split</t>
  </si>
  <si>
    <t>#MusicForEveryone</t>
  </si>
  <si>
    <t>#SpotifyWrapped</t>
  </si>
  <si>
    <t>Engagement Rate</t>
  </si>
  <si>
    <t>Most Frequent Hashtags</t>
  </si>
  <si>
    <t>Average Engagement</t>
  </si>
  <si>
    <t>Row Labels</t>
  </si>
  <si>
    <t>Column Labels</t>
  </si>
  <si>
    <t>Average of Engagement Rate</t>
  </si>
  <si>
    <t>Optimal Content Type</t>
  </si>
  <si>
    <t>Engagement Metric</t>
  </si>
  <si>
    <t>Reason / Insight</t>
  </si>
  <si>
    <t>Highest engagement among Instagram content types</t>
  </si>
  <si>
    <t>Highest engagement among Twitter content types</t>
  </si>
  <si>
    <t>Highest engagement among YouTube content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</si>
</sst>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0" xfId="0" applyFont="1" applyAlignment="1">
      <alignment horizontal="center"/>
    </xf>
    <xf numFmtId="22" fontId="5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2" fontId="5" fillId="0" borderId="0" xfId="0" applyNumberFormat="1" applyFont="1" applyAlignment="1">
      <alignment horizontal="center"/>
    </xf>
    <xf numFmtId="2" fontId="0" fillId="0" borderId="0" xfId="0" applyNumberFormat="1"/>
    <xf numFmtId="0" fontId="6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3" fillId="0" borderId="1" xfId="0" applyFont="1" applyBorder="1"/>
    <xf numFmtId="2" fontId="3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/>
    <xf numFmtId="0" fontId="1" fillId="0" borderId="1" xfId="0" applyFont="1" applyBorder="1"/>
    <xf numFmtId="0" fontId="4" fillId="2" borderId="0" xfId="0" applyFont="1" applyFill="1" applyAlignment="1">
      <alignment horizontal="center"/>
    </xf>
    <xf numFmtId="0" fontId="3" fillId="0" borderId="1" xfId="0" applyFont="1" applyFill="1" applyBorder="1"/>
    <xf numFmtId="2" fontId="3" fillId="0" borderId="1" xfId="0" applyNumberFormat="1" applyFont="1" applyFill="1" applyBorder="1"/>
  </cellXfs>
  <cellStyles count="1">
    <cellStyle name="Normal" xfId="0" builtinId="0"/>
  </cellStyles>
  <dxfs count="13">
    <dxf>
      <fill>
        <patternFill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7" formatCode="dd/mm/yyyy\ hh:mm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4.xlsx]Content_Analysis!PivotTable1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sng" strike="noStrike" baseline="0">
                <a:latin typeface="Arial" panose="020B0604020202020204" pitchFamily="34" charset="0"/>
                <a:cs typeface="Arial" panose="020B0604020202020204" pitchFamily="34" charset="0"/>
              </a:rPr>
              <a:t>Platform VS Content type performance</a:t>
            </a:r>
            <a:endParaRPr lang="en-IN" b="1" u="sng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gradFill>
          <a:gsLst>
            <a:gs pos="4700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Content_Analysis!$B$3:$B$4</c:f>
              <c:strCache>
                <c:ptCount val="1"/>
                <c:pt idx="0">
                  <c:v>Reel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Content_Analysis!$A$5:$A$7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Content_Analysis!$B$5:$B$7</c:f>
              <c:numCache>
                <c:formatCode>0.00</c:formatCode>
                <c:ptCount val="3"/>
                <c:pt idx="2">
                  <c:v>9.0106881535033523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C-4395-A4C5-4D96E51984A8}"/>
            </c:ext>
          </c:extLst>
        </c:ser>
        <c:ser>
          <c:idx val="1"/>
          <c:order val="1"/>
          <c:tx>
            <c:strRef>
              <c:f>Content_Analysis!$C$3:$C$4</c:f>
              <c:strCache>
                <c:ptCount val="1"/>
                <c:pt idx="0">
                  <c:v>Story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Content_Analysis!$A$5:$A$7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Content_Analysis!$C$5:$C$7</c:f>
              <c:numCache>
                <c:formatCode>0.00</c:formatCode>
                <c:ptCount val="3"/>
                <c:pt idx="0">
                  <c:v>9.5509123528654065</c:v>
                </c:pt>
                <c:pt idx="1">
                  <c:v>9.6350204330797542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6C-4395-A4C5-4D96E51984A8}"/>
            </c:ext>
          </c:extLst>
        </c:ser>
        <c:ser>
          <c:idx val="2"/>
          <c:order val="2"/>
          <c:tx>
            <c:strRef>
              <c:f>Content_Analysis!$D$3:$D$4</c:f>
              <c:strCache>
                <c:ptCount val="1"/>
                <c:pt idx="0">
                  <c:v>Text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Content_Analysis!$A$5:$A$7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Content_Analysis!$D$5:$D$7</c:f>
              <c:numCache>
                <c:formatCode>0.00</c:formatCode>
                <c:ptCount val="3"/>
                <c:pt idx="0">
                  <c:v>8.8783320500261702</c:v>
                </c:pt>
                <c:pt idx="1">
                  <c:v>9.5584491232904494</c:v>
                </c:pt>
                <c:pt idx="2">
                  <c:v>8.6403291293675739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6C-4395-A4C5-4D96E5198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7591312"/>
        <c:axId val="1167594672"/>
      </c:barChart>
      <c:catAx>
        <c:axId val="116759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594672"/>
        <c:crosses val="autoZero"/>
        <c:auto val="1"/>
        <c:lblAlgn val="ctr"/>
        <c:lblOffset val="100"/>
        <c:noMultiLvlLbl val="0"/>
      </c:catAx>
      <c:valAx>
        <c:axId val="116759467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59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solidDmnd">
      <a:fgClr>
        <a:schemeClr val="accent4">
          <a:lumMod val="20000"/>
          <a:lumOff val="80000"/>
        </a:schemeClr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27000">
        <a:schemeClr val="accent2">
          <a:lumMod val="20000"/>
          <a:lumOff val="80000"/>
        </a:schemeClr>
      </a:glow>
      <a:outerShdw blurRad="50800" dist="50800" dir="5400000" algn="ctr" rotWithShape="0">
        <a:schemeClr val="accent3">
          <a:lumMod val="60000"/>
          <a:lumOff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92218</xdr:colOff>
      <xdr:row>0</xdr:row>
      <xdr:rowOff>84909</xdr:rowOff>
    </xdr:from>
    <xdr:to>
      <xdr:col>13</xdr:col>
      <xdr:colOff>1251857</xdr:colOff>
      <xdr:row>3</xdr:row>
      <xdr:rowOff>161109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88E090-A052-48CB-B268-5E58F5A4D5DC}"/>
            </a:ext>
          </a:extLst>
        </xdr:cNvPr>
        <xdr:cNvSpPr txBox="1"/>
      </xdr:nvSpPr>
      <xdr:spPr>
        <a:xfrm>
          <a:off x="16218626" y="84909"/>
          <a:ext cx="3577823" cy="63603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Task 1 :</a:t>
          </a:r>
          <a:r>
            <a:rPr lang="en-IN" sz="1800" b="1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IN" sz="18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 Preprocessing and Cleaning</a:t>
          </a:r>
          <a:endParaRPr lang="en-IN" sz="1800"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/>
        </a:p>
      </xdr:txBody>
    </xdr:sp>
    <xdr:clientData/>
  </xdr:twoCellAnchor>
  <xdr:twoCellAnchor>
    <xdr:from>
      <xdr:col>10</xdr:col>
      <xdr:colOff>130940</xdr:colOff>
      <xdr:row>4</xdr:row>
      <xdr:rowOff>177281</xdr:rowOff>
    </xdr:from>
    <xdr:to>
      <xdr:col>13</xdr:col>
      <xdr:colOff>1189653</xdr:colOff>
      <xdr:row>12</xdr:row>
      <xdr:rowOff>171060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3C3B4D-19C9-4150-B26F-13A5A83F85E3}"/>
            </a:ext>
          </a:extLst>
        </xdr:cNvPr>
        <xdr:cNvSpPr txBox="1"/>
      </xdr:nvSpPr>
      <xdr:spPr>
        <a:xfrm>
          <a:off x="16257348" y="923730"/>
          <a:ext cx="3476897" cy="1486677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rgbClr val="00B050"/>
              </a:solidFill>
            </a:rPr>
            <a:t>Splitting Multi-Hashtag Columns:</a:t>
          </a:r>
          <a:br>
            <a:rPr lang="en-IN" sz="1200" b="1">
              <a:solidFill>
                <a:srgbClr val="92D050"/>
              </a:solidFill>
            </a:rPr>
          </a:br>
          <a:r>
            <a:rPr lang="en-IN"/>
            <a:t>The “Hashtags Used” column contained multiple hashtags separated by commas. These were split into separate entries (row-wise) using the “Split into Rows” option in Power Query. This allowed each hashtag to be analyzed individually and ensured accurate hashtag-level performance analysis.</a:t>
          </a:r>
          <a:endParaRPr lang="en-IN" sz="1100"/>
        </a:p>
      </xdr:txBody>
    </xdr:sp>
    <xdr:clientData/>
  </xdr:twoCellAnchor>
  <xdr:twoCellAnchor>
    <xdr:from>
      <xdr:col>11</xdr:col>
      <xdr:colOff>365449</xdr:colOff>
      <xdr:row>13</xdr:row>
      <xdr:rowOff>124408</xdr:rowOff>
    </xdr:from>
    <xdr:to>
      <xdr:col>12</xdr:col>
      <xdr:colOff>870857</xdr:colOff>
      <xdr:row>15</xdr:row>
      <xdr:rowOff>85530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A73A7B-2E6F-2C3B-F129-F606933C3B7E}"/>
            </a:ext>
          </a:extLst>
        </xdr:cNvPr>
        <xdr:cNvSpPr txBox="1"/>
      </xdr:nvSpPr>
      <xdr:spPr>
        <a:xfrm>
          <a:off x="17098347" y="2550367"/>
          <a:ext cx="1111898" cy="33434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tx1"/>
              </a:solidFill>
            </a:rPr>
            <a:t>Identified :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2</xdr:row>
      <xdr:rowOff>76200</xdr:rowOff>
    </xdr:from>
    <xdr:to>
      <xdr:col>11</xdr:col>
      <xdr:colOff>563880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50E99F-E3DF-2351-312F-375B7DAFA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91440</xdr:colOff>
      <xdr:row>13</xdr:row>
      <xdr:rowOff>7620</xdr:rowOff>
    </xdr:from>
    <xdr:to>
      <xdr:col>2</xdr:col>
      <xdr:colOff>175260</xdr:colOff>
      <xdr:row>17</xdr:row>
      <xdr:rowOff>99060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0EEE477-2056-9B34-EF46-DA344D2FFB72}"/>
            </a:ext>
          </a:extLst>
        </xdr:cNvPr>
        <xdr:cNvSpPr txBox="1"/>
      </xdr:nvSpPr>
      <xdr:spPr>
        <a:xfrm>
          <a:off x="91440" y="2385060"/>
          <a:ext cx="2171700" cy="8229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latin typeface="Arial" panose="020B0604020202020204" pitchFamily="34" charset="0"/>
              <a:cs typeface="Arial" panose="020B0604020202020204" pitchFamily="34" charset="0"/>
            </a:rPr>
            <a:t>Recommendation Table Based on Chart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PNA JEBBNOLLA" refreshedDate="46083.29771875" createdVersion="8" refreshedVersion="8" minRefreshableVersion="3" recordCount="483" xr:uid="{FF848FD7-F3AA-44A0-8038-BE527F85ED89}">
  <cacheSource type="worksheet">
    <worksheetSource name="Table1_1"/>
  </cacheSource>
  <cacheFields count="14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22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Engagement Rate" numFmtId="2">
      <sharedItems containsSemiMixedTypes="0" containsString="0" containsNumber="1" minValue="2.5027528414923199" maxValue="26.064752360763155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s Used" numFmtId="0">
      <sharedItems/>
    </cacheField>
    <cacheField name="Campaign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SP001"/>
    <x v="0"/>
    <d v="2025-05-04T00:00:00"/>
    <x v="0"/>
    <s v="Discover fresh beats on Spotify!"/>
    <n v="2414"/>
    <n v="245"/>
    <n v="137"/>
    <n v="21181"/>
    <n v="13.200509890939994"/>
    <n v="45292"/>
    <n v="133"/>
    <s v="#SoundtrackOfLife"/>
    <s v="ChillVibes"/>
  </r>
  <r>
    <s v="SP001"/>
    <x v="0"/>
    <d v="2025-05-04T00:00:00"/>
    <x v="0"/>
    <s v="Discover fresh beats on Spotify!"/>
    <n v="2414"/>
    <n v="245"/>
    <n v="137"/>
    <n v="21181"/>
    <n v="13.200509890939994"/>
    <n v="45292"/>
    <n v="133"/>
    <s v="#NowPlaying"/>
    <s v="ChillVibes"/>
  </r>
  <r>
    <s v="SP002"/>
    <x v="0"/>
    <d v="2025-02-01T00:00:00"/>
    <x v="0"/>
    <s v="Explore the latest podcasts now."/>
    <n v="1934"/>
    <n v="210"/>
    <n v="393"/>
    <n v="29129"/>
    <n v="8.7095334546328402"/>
    <n v="73287"/>
    <n v="273"/>
    <s v="#DiscoverWeekly"/>
    <s v="IndieWave"/>
  </r>
  <r>
    <s v="SP003"/>
    <x v="1"/>
    <d v="2024-12-03T00:00:00"/>
    <x v="1"/>
    <s v="New music just dropped. Hit play!"/>
    <n v="3092"/>
    <n v="177"/>
    <n v="81"/>
    <n v="47533"/>
    <n v="7.0477352576105021"/>
    <n v="29220"/>
    <n v="121"/>
    <s v="#MusicForEveryone"/>
    <s v="ChillVibes"/>
  </r>
  <r>
    <s v="SP003"/>
    <x v="1"/>
    <d v="2024-12-03T00:00:00"/>
    <x v="1"/>
    <s v="New music just dropped. Hit play!"/>
    <n v="3092"/>
    <n v="177"/>
    <n v="81"/>
    <n v="47533"/>
    <n v="7.0477352576105021"/>
    <n v="29220"/>
    <n v="121"/>
    <s v="#NowPlaying"/>
    <s v="ChillVibes"/>
  </r>
  <r>
    <s v="SP004"/>
    <x v="0"/>
    <d v="2024-12-03T00:00:00"/>
    <x v="0"/>
    <s v="Wrapped is here! Relive your top tracks ðŸŽ§"/>
    <n v="3173"/>
    <n v="229"/>
    <n v="197"/>
    <n v="29604"/>
    <n v="12.15714092690177"/>
    <n v="21809"/>
    <n v="272"/>
    <s v="#SoundtrackOfLife"/>
    <s v="ChillVibes"/>
  </r>
  <r>
    <s v="SP004"/>
    <x v="0"/>
    <d v="2024-12-03T00:00:00"/>
    <x v="0"/>
    <s v="Wrapped is here! Relive your top tracks ðŸŽ§"/>
    <n v="3173"/>
    <n v="229"/>
    <n v="197"/>
    <n v="29604"/>
    <n v="12.15714092690177"/>
    <n v="21809"/>
    <n v="272"/>
    <s v="#NowPlaying"/>
    <s v="ChillVibes"/>
  </r>
  <r>
    <s v="SP005"/>
    <x v="2"/>
    <d v="2024-04-06T00:00:00"/>
    <x v="0"/>
    <s v="Music that moves youâ€”only on Spotify."/>
    <n v="2748"/>
    <n v="145"/>
    <n v="315"/>
    <n v="24401"/>
    <n v="13.14700217204213"/>
    <n v="61182"/>
    <n v="200"/>
    <s v="#DiscoverWeekly"/>
    <s v="IndieWave"/>
  </r>
  <r>
    <s v="SP005"/>
    <x v="2"/>
    <d v="2024-04-06T00:00:00"/>
    <x v="0"/>
    <s v="Music that moves youâ€”only on Spotify."/>
    <n v="2748"/>
    <n v="145"/>
    <n v="315"/>
    <n v="24401"/>
    <n v="13.14700217204213"/>
    <n v="61182"/>
    <n v="200"/>
    <s v="#SpotifyWrapped"/>
    <s v="IndieWave"/>
  </r>
  <r>
    <s v="SP006"/>
    <x v="2"/>
    <d v="2024-06-13T00:00:00"/>
    <x v="0"/>
    <s v="Whatâ€™s your vibe today? #SpotifyHits"/>
    <n v="3882"/>
    <n v="239"/>
    <n v="275"/>
    <n v="58748"/>
    <n v="7.4828079253761839"/>
    <n v="44646"/>
    <n v="149"/>
    <s v="#DiscoverWeekly"/>
    <s v="IndieWave"/>
  </r>
  <r>
    <s v="SP006"/>
    <x v="2"/>
    <d v="2024-06-13T00:00:00"/>
    <x v="0"/>
    <s v="Whatâ€™s your vibe today? #SpotifyHits"/>
    <n v="3882"/>
    <n v="239"/>
    <n v="275"/>
    <n v="58748"/>
    <n v="7.4828079253761839"/>
    <n v="44646"/>
    <n v="149"/>
    <s v="#SpotifyWrapped"/>
    <s v="IndieWave"/>
  </r>
  <r>
    <s v="SP007"/>
    <x v="1"/>
    <d v="2024-12-19T00:00:00"/>
    <x v="1"/>
    <s v="Get into the groove with our new drop!"/>
    <n v="4674"/>
    <n v="409"/>
    <n v="327"/>
    <n v="20756"/>
    <n v="26.064752360763155"/>
    <n v="63599"/>
    <n v="212"/>
    <s v="#SoundtrackOfLife"/>
    <s v="ChillVibes"/>
  </r>
  <r>
    <s v="SP007"/>
    <x v="1"/>
    <d v="2024-12-19T00:00:00"/>
    <x v="1"/>
    <s v="Get into the groove with our new drop!"/>
    <n v="4674"/>
    <n v="409"/>
    <n v="327"/>
    <n v="20756"/>
    <n v="26.064752360763155"/>
    <n v="63599"/>
    <n v="212"/>
    <s v="#NowPlaying"/>
    <s v="ChillVibes"/>
  </r>
  <r>
    <s v="SP008"/>
    <x v="1"/>
    <d v="2024-05-09T00:00:00"/>
    <x v="1"/>
    <s v="Wrapped is here! Relive your top tracks ðŸŽ§"/>
    <n v="1428"/>
    <n v="347"/>
    <n v="67"/>
    <n v="21148"/>
    <n v="8.7100435029317183"/>
    <n v="19712"/>
    <n v="120"/>
    <s v="#DiscoverWeekly"/>
    <s v="ChillVibes"/>
  </r>
  <r>
    <s v="SP008"/>
    <x v="1"/>
    <d v="2024-05-09T00:00:00"/>
    <x v="1"/>
    <s v="Wrapped is here! Relive your top tracks ðŸŽ§"/>
    <n v="1428"/>
    <n v="347"/>
    <n v="67"/>
    <n v="21148"/>
    <n v="8.7100435029317183"/>
    <n v="19712"/>
    <n v="120"/>
    <s v="#MusicForEveryone"/>
    <s v="ChillVibes"/>
  </r>
  <r>
    <s v="SP009"/>
    <x v="1"/>
    <d v="2025-06-15T00:00:00"/>
    <x v="0"/>
    <s v="Top trending tracks updated daily!"/>
    <n v="4432"/>
    <n v="223"/>
    <n v="299"/>
    <n v="59016"/>
    <n v="8.3943337400027112"/>
    <n v="21742"/>
    <n v="171"/>
    <s v="#NowPlaying"/>
    <s v="ChillVibes"/>
  </r>
  <r>
    <s v="SP010"/>
    <x v="1"/>
    <d v="2024-12-04T00:00:00"/>
    <x v="0"/>
    <s v="Wrapped is here! Relive your top tracks ðŸŽ§"/>
    <n v="2357"/>
    <n v="274"/>
    <n v="172"/>
    <n v="21566"/>
    <n v="12.997310581470833"/>
    <n v="66829"/>
    <n v="284"/>
    <s v="#NowPlaying"/>
    <s v="ChillVibes"/>
  </r>
  <r>
    <s v="SP011"/>
    <x v="1"/>
    <d v="2024-03-06T00:00:00"/>
    <x v="0"/>
    <s v="Discover fresh beats on Spotify!"/>
    <n v="1971"/>
    <n v="370"/>
    <n v="306"/>
    <n v="31316"/>
    <n v="8.4525482181632388"/>
    <n v="27897"/>
    <n v="88"/>
    <s v="#SoundtrackOfLife"/>
    <s v="IndieWave"/>
  </r>
  <r>
    <s v="SP012"/>
    <x v="0"/>
    <d v="2024-05-14T00:00:00"/>
    <x v="0"/>
    <s v="Discover fresh beats on Spotify!"/>
    <n v="1485"/>
    <n v="353"/>
    <n v="244"/>
    <n v="38419"/>
    <n v="5.4191936281527369"/>
    <n v="38556"/>
    <n v="86"/>
    <s v="#SoundtrackOfLife"/>
    <s v="ChillVibes"/>
  </r>
  <r>
    <s v="SP012"/>
    <x v="0"/>
    <d v="2024-05-14T00:00:00"/>
    <x v="0"/>
    <s v="Discover fresh beats on Spotify!"/>
    <n v="1485"/>
    <n v="353"/>
    <n v="244"/>
    <n v="38419"/>
    <n v="5.4191936281527369"/>
    <n v="38556"/>
    <n v="86"/>
    <s v="#NowPlaying"/>
    <s v="ChillVibes"/>
  </r>
  <r>
    <s v="SP013"/>
    <x v="1"/>
    <d v="2025-06-18T00:00:00"/>
    <x v="1"/>
    <s v="Discover fresh beats on Spotify!"/>
    <n v="3956"/>
    <n v="319"/>
    <n v="61"/>
    <n v="58162"/>
    <n v="7.4550393727863558"/>
    <n v="28720"/>
    <n v="213"/>
    <s v="#MusicForEveryone"/>
    <s v="ChillVibes"/>
  </r>
  <r>
    <s v="SP013"/>
    <x v="1"/>
    <d v="2025-06-18T00:00:00"/>
    <x v="1"/>
    <s v="Discover fresh beats on Spotify!"/>
    <n v="3956"/>
    <n v="319"/>
    <n v="61"/>
    <n v="58162"/>
    <n v="7.4550393727863558"/>
    <n v="28720"/>
    <n v="213"/>
    <s v="#NowPlaying"/>
    <s v="ChillVibes"/>
  </r>
  <r>
    <s v="SP014"/>
    <x v="1"/>
    <d v="2024-10-08T00:00:00"/>
    <x v="0"/>
    <s v="From pop to podcasts, itâ€™s all here."/>
    <n v="2460"/>
    <n v="409"/>
    <n v="253"/>
    <n v="36702"/>
    <n v="8.5063484278785886"/>
    <n v="46122"/>
    <n v="264"/>
    <s v="#NowPlaying"/>
    <s v="ChillVibes"/>
  </r>
  <r>
    <s v="SP015"/>
    <x v="1"/>
    <d v="2024-05-06T00:00:00"/>
    <x v="0"/>
    <s v="Your weekend playlist is waiting."/>
    <n v="3476"/>
    <n v="355"/>
    <n v="396"/>
    <n v="37492"/>
    <n v="11.27440520644404"/>
    <n v="27285"/>
    <n v="179"/>
    <s v="#NowPlaying"/>
    <s v="ChillVibes"/>
  </r>
  <r>
    <s v="SP016"/>
    <x v="1"/>
    <d v="2024-12-29T00:00:00"/>
    <x v="1"/>
    <s v="New music just dropped. Hit play!"/>
    <n v="4049"/>
    <n v="377"/>
    <n v="94"/>
    <n v="48182"/>
    <n v="9.3810966751068872"/>
    <n v="42875"/>
    <n v="172"/>
    <s v="#MusicForEveryone"/>
    <s v="ChillVibes"/>
  </r>
  <r>
    <s v="SP016"/>
    <x v="1"/>
    <d v="2024-12-29T00:00:00"/>
    <x v="1"/>
    <s v="New music just dropped. Hit play!"/>
    <n v="4049"/>
    <n v="377"/>
    <n v="94"/>
    <n v="48182"/>
    <n v="9.3810966751068872"/>
    <n v="42875"/>
    <n v="172"/>
    <s v="#NowPlaying"/>
    <s v="ChillVibes"/>
  </r>
  <r>
    <s v="SP017"/>
    <x v="1"/>
    <d v="2024-06-10T00:00:00"/>
    <x v="0"/>
    <s v="Whatâ€™s your vibe today? #SpotifyHits"/>
    <n v="1514"/>
    <n v="164"/>
    <n v="275"/>
    <n v="41364"/>
    <n v="4.7214969538729328"/>
    <n v="44389"/>
    <n v="83"/>
    <s v="#NowPlaying"/>
    <s v="ChillVibes"/>
  </r>
  <r>
    <s v="SP018"/>
    <x v="0"/>
    <d v="2024-02-03T00:00:00"/>
    <x v="1"/>
    <s v="Music that moves youâ€”only on Spotify."/>
    <n v="4281"/>
    <n v="101"/>
    <n v="163"/>
    <n v="32278"/>
    <n v="14.080798066794721"/>
    <n v="53382"/>
    <n v="235"/>
    <s v="#NowPlaying"/>
    <s v="Wrapped2024"/>
  </r>
  <r>
    <s v="SP019"/>
    <x v="2"/>
    <d v="2024-06-15T00:00:00"/>
    <x v="2"/>
    <s v="Get into the groove with our new drop!"/>
    <n v="1751"/>
    <n v="143"/>
    <n v="151"/>
    <n v="31826"/>
    <n v="6.4255640042732365"/>
    <n v="47729"/>
    <n v="95"/>
    <s v="#DiscoverWeekly"/>
    <s v="SummerBeats"/>
  </r>
  <r>
    <s v="SP019"/>
    <x v="2"/>
    <d v="2024-06-15T00:00:00"/>
    <x v="2"/>
    <s v="Get into the groove with our new drop!"/>
    <n v="1751"/>
    <n v="143"/>
    <n v="151"/>
    <n v="31826"/>
    <n v="6.4255640042732365"/>
    <n v="47729"/>
    <n v="95"/>
    <s v="#SoundtrackOfLife"/>
    <s v="SummerBeats"/>
  </r>
  <r>
    <s v="SP020"/>
    <x v="0"/>
    <d v="2024-07-05T00:00:00"/>
    <x v="0"/>
    <s v="Your weekend playlist is waiting."/>
    <n v="3753"/>
    <n v="411"/>
    <n v="308"/>
    <n v="29138"/>
    <n v="15.347655981879333"/>
    <n v="27678"/>
    <n v="90"/>
    <s v="#DiscoverWeekly"/>
    <s v="IndieWave"/>
  </r>
  <r>
    <s v="SP021"/>
    <x v="0"/>
    <d v="2024-11-07T00:00:00"/>
    <x v="1"/>
    <s v="Wrapped is here! Relive your top tracks ðŸŽ§"/>
    <n v="1678"/>
    <n v="423"/>
    <n v="323"/>
    <n v="55668"/>
    <n v="4.3543867212761374"/>
    <n v="37945"/>
    <n v="230"/>
    <s v="#NowPlaying"/>
    <s v="Wrapped2024"/>
  </r>
  <r>
    <s v="SP022"/>
    <x v="0"/>
    <d v="2025-06-15T00:00:00"/>
    <x v="0"/>
    <s v="Whatâ€™s your vibe today? #SpotifyHits"/>
    <n v="4896"/>
    <n v="466"/>
    <n v="233"/>
    <n v="28621"/>
    <n v="19.548583208133888"/>
    <n v="34270"/>
    <n v="84"/>
    <s v="#SoundtrackOfLife"/>
    <s v="ChillVibes"/>
  </r>
  <r>
    <s v="SP022"/>
    <x v="0"/>
    <d v="2025-06-15T00:00:00"/>
    <x v="0"/>
    <s v="Whatâ€™s your vibe today? #SpotifyHits"/>
    <n v="4896"/>
    <n v="466"/>
    <n v="233"/>
    <n v="28621"/>
    <n v="19.548583208133888"/>
    <n v="34270"/>
    <n v="84"/>
    <s v="#NowPlaying"/>
    <s v="ChillVibes"/>
  </r>
  <r>
    <s v="SP023"/>
    <x v="2"/>
    <d v="2024-06-09T00:00:00"/>
    <x v="2"/>
    <s v="From pop to podcasts, itâ€™s all here."/>
    <n v="2786"/>
    <n v="368"/>
    <n v="208"/>
    <n v="42000"/>
    <n v="8.0047619047619047"/>
    <n v="39967"/>
    <n v="103"/>
    <s v="#DiscoverWeekly"/>
    <s v="SummerBeats"/>
  </r>
  <r>
    <s v="SP023"/>
    <x v="2"/>
    <d v="2024-06-09T00:00:00"/>
    <x v="2"/>
    <s v="From pop to podcasts, itâ€™s all here."/>
    <n v="2786"/>
    <n v="368"/>
    <n v="208"/>
    <n v="42000"/>
    <n v="8.0047619047619047"/>
    <n v="39967"/>
    <n v="103"/>
    <s v="#SoundtrackOfLife"/>
    <s v="SummerBeats"/>
  </r>
  <r>
    <s v="SP024"/>
    <x v="1"/>
    <d v="2024-10-18T00:00:00"/>
    <x v="0"/>
    <s v="New music just dropped. Hit play!"/>
    <n v="2607"/>
    <n v="379"/>
    <n v="180"/>
    <n v="28712"/>
    <n v="11.026748397882418"/>
    <n v="61620"/>
    <n v="174"/>
    <s v="#SoundtrackOfLife"/>
    <s v="IndieWave"/>
  </r>
  <r>
    <s v="SP025"/>
    <x v="2"/>
    <d v="2024-10-10T00:00:00"/>
    <x v="2"/>
    <s v="From pop to podcasts, itâ€™s all here."/>
    <n v="4013"/>
    <n v="320"/>
    <n v="92"/>
    <n v="54605"/>
    <n v="8.1036535115831878"/>
    <n v="60169"/>
    <n v="232"/>
    <s v="#DiscoverWeekly"/>
    <s v="SummerBeats"/>
  </r>
  <r>
    <s v="SP025"/>
    <x v="2"/>
    <d v="2024-10-10T00:00:00"/>
    <x v="2"/>
    <s v="From pop to podcasts, itâ€™s all here."/>
    <n v="4013"/>
    <n v="320"/>
    <n v="92"/>
    <n v="54605"/>
    <n v="8.1036535115831878"/>
    <n v="60169"/>
    <n v="232"/>
    <s v="#SoundtrackOfLife"/>
    <s v="SummerBeats"/>
  </r>
  <r>
    <s v="SP026"/>
    <x v="1"/>
    <d v="2025-05-14T00:00:00"/>
    <x v="1"/>
    <s v="From pop to podcasts, itâ€™s all here."/>
    <n v="2707"/>
    <n v="103"/>
    <n v="51"/>
    <n v="55302"/>
    <n v="5.1734114498571477"/>
    <n v="18801"/>
    <n v="147"/>
    <s v="#DiscoverWeekly"/>
    <s v="ChillVibes"/>
  </r>
  <r>
    <s v="SP026"/>
    <x v="1"/>
    <d v="2025-05-14T00:00:00"/>
    <x v="1"/>
    <s v="From pop to podcasts, itâ€™s all here."/>
    <n v="2707"/>
    <n v="103"/>
    <n v="51"/>
    <n v="55302"/>
    <n v="5.1734114498571477"/>
    <n v="18801"/>
    <n v="147"/>
    <s v="#MusicForEveryone"/>
    <s v="ChillVibes"/>
  </r>
  <r>
    <s v="SP027"/>
    <x v="0"/>
    <d v="2024-11-29T00:00:00"/>
    <x v="0"/>
    <s v="Whatâ€™s your vibe today? #SpotifyHits"/>
    <n v="2824"/>
    <n v="425"/>
    <n v="274"/>
    <n v="31004"/>
    <n v="11.363049929041415"/>
    <n v="53488"/>
    <n v="268"/>
    <s v="#SoundtrackOfLife"/>
    <s v="ChillVibes"/>
  </r>
  <r>
    <s v="SP027"/>
    <x v="0"/>
    <d v="2024-11-29T00:00:00"/>
    <x v="0"/>
    <s v="Whatâ€™s your vibe today? #SpotifyHits"/>
    <n v="2824"/>
    <n v="425"/>
    <n v="274"/>
    <n v="31004"/>
    <n v="11.363049929041415"/>
    <n v="53488"/>
    <n v="268"/>
    <s v="#NowPlaying"/>
    <s v="ChillVibes"/>
  </r>
  <r>
    <s v="SP028"/>
    <x v="2"/>
    <d v="2024-03-05T00:00:00"/>
    <x v="2"/>
    <s v="Explore the latest podcasts now."/>
    <n v="3558"/>
    <n v="314"/>
    <n v="199"/>
    <n v="49612"/>
    <n v="8.2056760461178744"/>
    <n v="53929"/>
    <n v="206"/>
    <s v="#DiscoverWeekly"/>
    <s v="SummerBeats"/>
  </r>
  <r>
    <s v="SP028"/>
    <x v="2"/>
    <d v="2024-03-05T00:00:00"/>
    <x v="2"/>
    <s v="Explore the latest podcasts now."/>
    <n v="3558"/>
    <n v="314"/>
    <n v="199"/>
    <n v="49612"/>
    <n v="8.2056760461178744"/>
    <n v="53929"/>
    <n v="206"/>
    <s v="#SoundtrackOfLife"/>
    <s v="SummerBeats"/>
  </r>
  <r>
    <s v="SP029"/>
    <x v="1"/>
    <d v="2025-03-18T00:00:00"/>
    <x v="1"/>
    <s v="Explore the latest podcasts now."/>
    <n v="3418"/>
    <n v="188"/>
    <n v="387"/>
    <n v="57431"/>
    <n v="6.9526910553533803"/>
    <n v="36933"/>
    <n v="202"/>
    <s v="#MusicForEveryone"/>
    <s v="ChillVibes"/>
  </r>
  <r>
    <s v="SP029"/>
    <x v="1"/>
    <d v="2025-03-18T00:00:00"/>
    <x v="1"/>
    <s v="Explore the latest podcasts now."/>
    <n v="3418"/>
    <n v="188"/>
    <n v="387"/>
    <n v="57431"/>
    <n v="6.9526910553533803"/>
    <n v="36933"/>
    <n v="202"/>
    <s v="#NowPlaying"/>
    <s v="ChillVibes"/>
  </r>
  <r>
    <s v="SP030"/>
    <x v="1"/>
    <d v="2025-04-26T00:00:00"/>
    <x v="0"/>
    <s v="Discover fresh beats on Spotify!"/>
    <n v="2411"/>
    <n v="194"/>
    <n v="168"/>
    <n v="26665"/>
    <n v="10.399399962497656"/>
    <n v="71699"/>
    <n v="197"/>
    <s v="#NowPlaying"/>
    <s v="ChillVibes"/>
  </r>
  <r>
    <s v="SP031"/>
    <x v="0"/>
    <d v="2025-01-01T00:00:00"/>
    <x v="0"/>
    <s v="New music just dropped. Hit play!"/>
    <n v="4036"/>
    <n v="112"/>
    <n v="382"/>
    <n v="56284"/>
    <n v="8.0484684812735416"/>
    <n v="29440"/>
    <n v="279"/>
    <s v="#SoundtrackOfLife"/>
    <s v="ChillVibes"/>
  </r>
  <r>
    <s v="SP031"/>
    <x v="0"/>
    <d v="2025-01-01T00:00:00"/>
    <x v="0"/>
    <s v="New music just dropped. Hit play!"/>
    <n v="4036"/>
    <n v="112"/>
    <n v="382"/>
    <n v="56284"/>
    <n v="8.0484684812735416"/>
    <n v="29440"/>
    <n v="279"/>
    <s v="#NowPlaying"/>
    <s v="ChillVibes"/>
  </r>
  <r>
    <s v="SP032"/>
    <x v="1"/>
    <d v="2024-05-07T00:00:00"/>
    <x v="1"/>
    <s v="Explore the latest podcasts now."/>
    <n v="2776"/>
    <n v="307"/>
    <n v="178"/>
    <n v="43365"/>
    <n v="7.5198893116568657"/>
    <n v="48408"/>
    <n v="138"/>
    <s v="#SoundtrackOfLife"/>
    <s v="ChillVibes"/>
  </r>
  <r>
    <s v="SP032"/>
    <x v="1"/>
    <d v="2024-05-07T00:00:00"/>
    <x v="1"/>
    <s v="Explore the latest podcasts now."/>
    <n v="2776"/>
    <n v="307"/>
    <n v="178"/>
    <n v="43365"/>
    <n v="7.5198893116568657"/>
    <n v="48408"/>
    <n v="138"/>
    <s v="#NowPlaying"/>
    <s v="ChillVibes"/>
  </r>
  <r>
    <s v="SP033"/>
    <x v="1"/>
    <d v="2024-10-09T00:00:00"/>
    <x v="1"/>
    <s v="Discover fresh beats on Spotify!"/>
    <n v="4929"/>
    <n v="182"/>
    <n v="95"/>
    <n v="32181"/>
    <n v="16.177247444144061"/>
    <n v="31084"/>
    <n v="289"/>
    <s v="#DiscoverWeekly"/>
    <s v="ChillVibes"/>
  </r>
  <r>
    <s v="SP033"/>
    <x v="1"/>
    <d v="2024-10-09T00:00:00"/>
    <x v="1"/>
    <s v="Discover fresh beats on Spotify!"/>
    <n v="4929"/>
    <n v="182"/>
    <n v="95"/>
    <n v="32181"/>
    <n v="16.177247444144061"/>
    <n v="31084"/>
    <n v="289"/>
    <s v="#MusicForEveryone"/>
    <s v="ChillVibes"/>
  </r>
  <r>
    <s v="SP034"/>
    <x v="0"/>
    <d v="2025-01-09T00:00:00"/>
    <x v="0"/>
    <s v="New music just dropped. Hit play!"/>
    <n v="1015"/>
    <n v="366"/>
    <n v="308"/>
    <n v="38127"/>
    <n v="4.4299315445747114"/>
    <n v="63790"/>
    <n v="287"/>
    <s v="#SoundtrackOfLife"/>
    <s v="ChillVibes"/>
  </r>
  <r>
    <s v="SP034"/>
    <x v="0"/>
    <d v="2025-01-09T00:00:00"/>
    <x v="0"/>
    <s v="New music just dropped. Hit play!"/>
    <n v="1015"/>
    <n v="366"/>
    <n v="308"/>
    <n v="38127"/>
    <n v="4.4299315445747114"/>
    <n v="63790"/>
    <n v="287"/>
    <s v="#NowPlaying"/>
    <s v="ChillVibes"/>
  </r>
  <r>
    <s v="SP035"/>
    <x v="1"/>
    <d v="2025-05-08T00:00:00"/>
    <x v="1"/>
    <s v="Your weekend playlist is waiting."/>
    <n v="3316"/>
    <n v="332"/>
    <n v="268"/>
    <n v="40095"/>
    <n v="9.7668038408779143"/>
    <n v="36913"/>
    <n v="265"/>
    <s v="#MusicForEveryone"/>
    <s v="ChillVibes"/>
  </r>
  <r>
    <s v="SP035"/>
    <x v="1"/>
    <d v="2025-05-08T00:00:00"/>
    <x v="1"/>
    <s v="Your weekend playlist is waiting."/>
    <n v="3316"/>
    <n v="332"/>
    <n v="268"/>
    <n v="40095"/>
    <n v="9.7668038408779143"/>
    <n v="36913"/>
    <n v="265"/>
    <s v="#NowPlaying"/>
    <s v="ChillVibes"/>
  </r>
  <r>
    <s v="SP036"/>
    <x v="0"/>
    <d v="2024-05-04T00:00:00"/>
    <x v="0"/>
    <s v="Wrapped is here! Relive your top tracks ðŸŽ§"/>
    <n v="2274"/>
    <n v="243"/>
    <n v="222"/>
    <n v="43066"/>
    <n v="6.3600055728416844"/>
    <n v="59174"/>
    <n v="80"/>
    <s v="#DiscoverWeekly"/>
    <s v="IndieWave"/>
  </r>
  <r>
    <s v="SP037"/>
    <x v="1"/>
    <d v="2025-05-27T00:00:00"/>
    <x v="1"/>
    <s v="Explore the latest podcasts now."/>
    <n v="4095"/>
    <n v="385"/>
    <n v="400"/>
    <n v="45300"/>
    <n v="10.772626931567329"/>
    <n v="31795"/>
    <n v="80"/>
    <s v="#MusicForEveryone"/>
    <s v="ChillVibes"/>
  </r>
  <r>
    <s v="SP037"/>
    <x v="1"/>
    <d v="2025-05-27T00:00:00"/>
    <x v="1"/>
    <s v="Explore the latest podcasts now."/>
    <n v="4095"/>
    <n v="385"/>
    <n v="400"/>
    <n v="45300"/>
    <n v="10.772626931567329"/>
    <n v="31795"/>
    <n v="80"/>
    <s v="#NowPlaying"/>
    <s v="ChillVibes"/>
  </r>
  <r>
    <s v="SP038"/>
    <x v="0"/>
    <d v="2024-09-10T00:00:00"/>
    <x v="1"/>
    <s v="New music just dropped. Hit play!"/>
    <n v="1230"/>
    <n v="309"/>
    <n v="207"/>
    <n v="44629"/>
    <n v="3.9122543637545095"/>
    <n v="40699"/>
    <n v="195"/>
    <s v="#NowPlaying"/>
    <s v="Wrapped2024"/>
  </r>
  <r>
    <s v="SP039"/>
    <x v="0"/>
    <d v="2024-11-25T00:00:00"/>
    <x v="0"/>
    <s v="From pop to podcasts, itâ€™s all here."/>
    <n v="1341"/>
    <n v="472"/>
    <n v="238"/>
    <n v="51386"/>
    <n v="3.9913595142645857"/>
    <n v="51706"/>
    <n v="133"/>
    <s v="#DiscoverWeekly"/>
    <s v="IndieWave"/>
  </r>
  <r>
    <s v="SP040"/>
    <x v="1"/>
    <d v="2025-06-10T00:00:00"/>
    <x v="0"/>
    <s v="Explore the latest podcasts now."/>
    <n v="3615"/>
    <n v="192"/>
    <n v="162"/>
    <n v="27492"/>
    <n v="14.436927106067218"/>
    <n v="35341"/>
    <n v="125"/>
    <s v="#NowPlaying"/>
    <s v="ChillVibes"/>
  </r>
  <r>
    <s v="SP041"/>
    <x v="0"/>
    <d v="2024-04-19T00:00:00"/>
    <x v="0"/>
    <s v="New music just dropped. Hit play!"/>
    <n v="4001"/>
    <n v="353"/>
    <n v="129"/>
    <n v="41265"/>
    <n v="10.863928268508422"/>
    <n v="37279"/>
    <n v="275"/>
    <s v="#SoundtrackOfLife"/>
    <s v="ChillVibes"/>
  </r>
  <r>
    <s v="SP041"/>
    <x v="0"/>
    <d v="2024-04-19T00:00:00"/>
    <x v="0"/>
    <s v="New music just dropped. Hit play!"/>
    <n v="4001"/>
    <n v="353"/>
    <n v="129"/>
    <n v="41265"/>
    <n v="10.863928268508422"/>
    <n v="37279"/>
    <n v="275"/>
    <s v="#NowPlaying"/>
    <s v="ChillVibes"/>
  </r>
  <r>
    <s v="SP042"/>
    <x v="0"/>
    <d v="2025-01-26T00:00:00"/>
    <x v="1"/>
    <s v="Whatâ€™s your vibe today? #SpotifyHits"/>
    <n v="3451"/>
    <n v="363"/>
    <n v="393"/>
    <n v="44853"/>
    <n v="9.3795286825853346"/>
    <n v="69032"/>
    <n v="211"/>
    <s v="#NowPlaying"/>
    <s v="Wrapped2024"/>
  </r>
  <r>
    <s v="SP043"/>
    <x v="0"/>
    <d v="2025-02-14T00:00:00"/>
    <x v="0"/>
    <s v="Top trending tracks updated daily!"/>
    <n v="4891"/>
    <n v="450"/>
    <n v="387"/>
    <n v="48746"/>
    <n v="11.750707750379519"/>
    <n v="37312"/>
    <n v="154"/>
    <s v="#SoundtrackOfLife"/>
    <s v="ChillVibes"/>
  </r>
  <r>
    <s v="SP043"/>
    <x v="0"/>
    <d v="2025-02-14T00:00:00"/>
    <x v="0"/>
    <s v="Top trending tracks updated daily!"/>
    <n v="4891"/>
    <n v="450"/>
    <n v="387"/>
    <n v="48746"/>
    <n v="11.750707750379519"/>
    <n v="37312"/>
    <n v="154"/>
    <s v="#NowPlaying"/>
    <s v="ChillVibes"/>
  </r>
  <r>
    <s v="SP044"/>
    <x v="0"/>
    <d v="2024-09-06T00:00:00"/>
    <x v="0"/>
    <s v="New music just dropped. Hit play!"/>
    <n v="1452"/>
    <n v="281"/>
    <n v="326"/>
    <n v="51556"/>
    <n v="3.9937155714174879"/>
    <n v="62599"/>
    <n v="290"/>
    <s v="#DiscoverWeekly"/>
    <s v="IndieWave"/>
  </r>
  <r>
    <s v="SP045"/>
    <x v="2"/>
    <d v="2024-07-14T00:00:00"/>
    <x v="0"/>
    <s v="Your weekend playlist is waiting."/>
    <n v="3806"/>
    <n v="114"/>
    <n v="278"/>
    <n v="36148"/>
    <n v="11.613367267898639"/>
    <n v="24209"/>
    <n v="201"/>
    <s v="#DiscoverWeekly"/>
    <s v="IndieWave"/>
  </r>
  <r>
    <s v="SP045"/>
    <x v="2"/>
    <d v="2024-07-14T00:00:00"/>
    <x v="0"/>
    <s v="Your weekend playlist is waiting."/>
    <n v="3806"/>
    <n v="114"/>
    <n v="278"/>
    <n v="36148"/>
    <n v="11.613367267898639"/>
    <n v="24209"/>
    <n v="201"/>
    <s v="#SpotifyWrapped"/>
    <s v="IndieWave"/>
  </r>
  <r>
    <s v="SP046"/>
    <x v="0"/>
    <d v="2024-02-12T00:00:00"/>
    <x v="0"/>
    <s v="Explore the latest podcasts now."/>
    <n v="2923"/>
    <n v="330"/>
    <n v="250"/>
    <n v="23993"/>
    <n v="14.600091693410578"/>
    <n v="74590"/>
    <n v="92"/>
    <s v="#DiscoverWeekly"/>
    <s v="IndieWave"/>
  </r>
  <r>
    <s v="SP047"/>
    <x v="2"/>
    <d v="2024-03-14T00:00:00"/>
    <x v="2"/>
    <s v="From pop to podcasts, itâ€™s all here."/>
    <n v="3361"/>
    <n v="188"/>
    <n v="358"/>
    <n v="39838"/>
    <n v="9.8072192379135501"/>
    <n v="24536"/>
    <n v="120"/>
    <s v="#DiscoverWeekly"/>
    <s v="SummerBeats"/>
  </r>
  <r>
    <s v="SP047"/>
    <x v="2"/>
    <d v="2024-03-14T00:00:00"/>
    <x v="2"/>
    <s v="From pop to podcasts, itâ€™s all here."/>
    <n v="3361"/>
    <n v="188"/>
    <n v="358"/>
    <n v="39838"/>
    <n v="9.8072192379135501"/>
    <n v="24536"/>
    <n v="120"/>
    <s v="#SoundtrackOfLife"/>
    <s v="SummerBeats"/>
  </r>
  <r>
    <s v="SP048"/>
    <x v="0"/>
    <d v="2025-02-05T00:00:00"/>
    <x v="1"/>
    <s v="Music that moves youâ€”only on Spotify."/>
    <n v="3074"/>
    <n v="371"/>
    <n v="348"/>
    <n v="24104"/>
    <n v="15.735977431131762"/>
    <n v="57803"/>
    <n v="213"/>
    <s v="#NowPlaying"/>
    <s v="Wrapped2024"/>
  </r>
  <r>
    <s v="SP049"/>
    <x v="1"/>
    <d v="2024-08-29T00:00:00"/>
    <x v="1"/>
    <s v="Get into the groove with our new drop!"/>
    <n v="4276"/>
    <n v="227"/>
    <n v="223"/>
    <n v="43443"/>
    <n v="10.87862256289851"/>
    <n v="41005"/>
    <n v="191"/>
    <s v="#DiscoverWeekly"/>
    <s v="ChillVibes"/>
  </r>
  <r>
    <s v="SP049"/>
    <x v="1"/>
    <d v="2024-08-29T00:00:00"/>
    <x v="1"/>
    <s v="Get into the groove with our new drop!"/>
    <n v="4276"/>
    <n v="227"/>
    <n v="223"/>
    <n v="43443"/>
    <n v="10.87862256289851"/>
    <n v="41005"/>
    <n v="191"/>
    <s v="#MusicForEveryone"/>
    <s v="ChillVibes"/>
  </r>
  <r>
    <s v="SP050"/>
    <x v="1"/>
    <d v="2025-04-22T00:00:00"/>
    <x v="0"/>
    <s v="Discover fresh beats on Spotify!"/>
    <n v="4401"/>
    <n v="421"/>
    <n v="216"/>
    <n v="24890"/>
    <n v="20.241060666934512"/>
    <n v="54361"/>
    <n v="148"/>
    <s v="#NowPlaying"/>
    <s v="ChillVibes"/>
  </r>
  <r>
    <s v="SP051"/>
    <x v="2"/>
    <d v="2024-05-13T00:00:00"/>
    <x v="2"/>
    <s v="Explore the latest podcasts now."/>
    <n v="4161"/>
    <n v="481"/>
    <n v="61"/>
    <n v="45884"/>
    <n v="10.249760265016128"/>
    <n v="48955"/>
    <n v="215"/>
    <s v="#DiscoverWeekly"/>
    <s v="SummerBeats"/>
  </r>
  <r>
    <s v="SP051"/>
    <x v="2"/>
    <d v="2024-05-13T00:00:00"/>
    <x v="2"/>
    <s v="Explore the latest podcasts now."/>
    <n v="4161"/>
    <n v="481"/>
    <n v="61"/>
    <n v="45884"/>
    <n v="10.249760265016128"/>
    <n v="48955"/>
    <n v="215"/>
    <s v="#SoundtrackOfLife"/>
    <s v="SummerBeats"/>
  </r>
  <r>
    <s v="SP052"/>
    <x v="1"/>
    <d v="2024-09-04T00:00:00"/>
    <x v="1"/>
    <s v="New music just dropped. Hit play!"/>
    <n v="2613"/>
    <n v="455"/>
    <n v="228"/>
    <n v="21645"/>
    <n v="15.227535227535228"/>
    <n v="61334"/>
    <n v="261"/>
    <s v="#DiscoverWeekly"/>
    <s v="ChillVibes"/>
  </r>
  <r>
    <s v="SP052"/>
    <x v="1"/>
    <d v="2024-09-04T00:00:00"/>
    <x v="1"/>
    <s v="New music just dropped. Hit play!"/>
    <n v="2613"/>
    <n v="455"/>
    <n v="228"/>
    <n v="21645"/>
    <n v="15.227535227535228"/>
    <n v="61334"/>
    <n v="261"/>
    <s v="#MusicForEveryone"/>
    <s v="ChillVibes"/>
  </r>
  <r>
    <s v="SP053"/>
    <x v="1"/>
    <d v="2024-08-12T00:00:00"/>
    <x v="1"/>
    <s v="Whatâ€™s your vibe today? #SpotifyHits"/>
    <n v="2842"/>
    <n v="213"/>
    <n v="331"/>
    <n v="57660"/>
    <n v="5.8723551855705862"/>
    <n v="68606"/>
    <n v="87"/>
    <s v="#MusicForEveryone"/>
    <s v="ChillVibes"/>
  </r>
  <r>
    <s v="SP053"/>
    <x v="1"/>
    <d v="2024-08-12T00:00:00"/>
    <x v="1"/>
    <s v="Whatâ€™s your vibe today? #SpotifyHits"/>
    <n v="2842"/>
    <n v="213"/>
    <n v="331"/>
    <n v="57660"/>
    <n v="5.8723551855705862"/>
    <n v="68606"/>
    <n v="87"/>
    <s v="#NowPlaying"/>
    <s v="ChillVibes"/>
  </r>
  <r>
    <s v="SP054"/>
    <x v="0"/>
    <d v="2025-03-06T00:00:00"/>
    <x v="0"/>
    <s v="Get into the groove with our new drop!"/>
    <n v="4851"/>
    <n v="460"/>
    <n v="212"/>
    <n v="58075"/>
    <n v="9.5101162290142049"/>
    <n v="59574"/>
    <n v="239"/>
    <s v="#DiscoverWeekly"/>
    <s v="IndieWave"/>
  </r>
  <r>
    <s v="SP055"/>
    <x v="1"/>
    <d v="2024-05-08T00:00:00"/>
    <x v="0"/>
    <s v="Explore the latest podcasts now."/>
    <n v="1828"/>
    <n v="450"/>
    <n v="214"/>
    <n v="52115"/>
    <n v="4.7817327065144388"/>
    <n v="19166"/>
    <n v="190"/>
    <s v="#NowPlaying"/>
    <s v="ChillVibes"/>
  </r>
  <r>
    <s v="SP056"/>
    <x v="0"/>
    <d v="2025-02-19T00:00:00"/>
    <x v="1"/>
    <s v="From pop to podcasts, itâ€™s all here."/>
    <n v="2422"/>
    <n v="455"/>
    <n v="376"/>
    <n v="23428"/>
    <n v="13.885094758408743"/>
    <n v="46775"/>
    <n v="259"/>
    <s v="#NowPlaying"/>
    <s v="Wrapped2024"/>
  </r>
  <r>
    <s v="SP057"/>
    <x v="0"/>
    <d v="2024-01-08T00:00:00"/>
    <x v="0"/>
    <s v="Top trending tracks updated daily!"/>
    <n v="2683"/>
    <n v="405"/>
    <n v="223"/>
    <n v="31233"/>
    <n v="10.600966926007748"/>
    <n v="58106"/>
    <n v="291"/>
    <s v="#DiscoverWeekly"/>
    <s v="IndieWave"/>
  </r>
  <r>
    <s v="SP058"/>
    <x v="2"/>
    <d v="2024-07-17T00:00:00"/>
    <x v="0"/>
    <s v="Top trending tracks updated daily!"/>
    <n v="3135"/>
    <n v="110"/>
    <n v="215"/>
    <n v="39192"/>
    <n v="8.8283323127168813"/>
    <n v="24744"/>
    <n v="177"/>
    <s v="#DiscoverWeekly"/>
    <s v="IndieWave"/>
  </r>
  <r>
    <s v="SP058"/>
    <x v="2"/>
    <d v="2024-07-17T00:00:00"/>
    <x v="0"/>
    <s v="Top trending tracks updated daily!"/>
    <n v="3135"/>
    <n v="110"/>
    <n v="215"/>
    <n v="39192"/>
    <n v="8.8283323127168813"/>
    <n v="24744"/>
    <n v="177"/>
    <s v="#SpotifyWrapped"/>
    <s v="IndieWave"/>
  </r>
  <r>
    <s v="SP059"/>
    <x v="2"/>
    <d v="2024-08-10T00:00:00"/>
    <x v="0"/>
    <s v="From pop to podcasts, itâ€™s all here."/>
    <n v="1105"/>
    <n v="181"/>
    <n v="55"/>
    <n v="53581"/>
    <n v="2.5027528414923199"/>
    <n v="74048"/>
    <n v="220"/>
    <s v="#DiscoverWeekly"/>
    <s v="IndieWave"/>
  </r>
  <r>
    <s v="SP059"/>
    <x v="2"/>
    <d v="2024-08-10T00:00:00"/>
    <x v="0"/>
    <s v="From pop to podcasts, itâ€™s all here."/>
    <n v="1105"/>
    <n v="181"/>
    <n v="55"/>
    <n v="53581"/>
    <n v="2.5027528414923199"/>
    <n v="74048"/>
    <n v="220"/>
    <s v="#SpotifyWrapped"/>
    <s v="IndieWave"/>
  </r>
  <r>
    <s v="SP060"/>
    <x v="2"/>
    <d v="2024-04-16T00:00:00"/>
    <x v="0"/>
    <s v="Discover fresh beats on Spotify!"/>
    <n v="4674"/>
    <n v="326"/>
    <n v="62"/>
    <n v="45503"/>
    <n v="11.124541239039184"/>
    <n v="46814"/>
    <n v="116"/>
    <s v="#DiscoverWeekly"/>
    <s v="IndieWave"/>
  </r>
  <r>
    <s v="SP060"/>
    <x v="2"/>
    <d v="2024-04-16T00:00:00"/>
    <x v="0"/>
    <s v="Discover fresh beats on Spotify!"/>
    <n v="4674"/>
    <n v="326"/>
    <n v="62"/>
    <n v="45503"/>
    <n v="11.124541239039184"/>
    <n v="46814"/>
    <n v="116"/>
    <s v="#SpotifyWrapped"/>
    <s v="IndieWave"/>
  </r>
  <r>
    <s v="SP061"/>
    <x v="2"/>
    <d v="2024-01-01T00:00:00"/>
    <x v="2"/>
    <s v="Explore the latest podcasts now."/>
    <n v="3437"/>
    <n v="129"/>
    <n v="359"/>
    <n v="44558"/>
    <n v="8.8087436599488314"/>
    <n v="30854"/>
    <n v="171"/>
    <s v="#DiscoverWeekly"/>
    <s v="SummerBeats"/>
  </r>
  <r>
    <s v="SP061"/>
    <x v="2"/>
    <d v="2024-01-01T00:00:00"/>
    <x v="2"/>
    <s v="Explore the latest podcasts now."/>
    <n v="3437"/>
    <n v="129"/>
    <n v="359"/>
    <n v="44558"/>
    <n v="8.8087436599488314"/>
    <n v="30854"/>
    <n v="171"/>
    <s v="#SoundtrackOfLife"/>
    <s v="SummerBeats"/>
  </r>
  <r>
    <s v="SP062"/>
    <x v="1"/>
    <d v="2024-11-03T00:00:00"/>
    <x v="1"/>
    <s v="Wrapped is here! Relive your top tracks ðŸŽ§"/>
    <n v="1959"/>
    <n v="316"/>
    <n v="82"/>
    <n v="54036"/>
    <n v="4.3619068768968834"/>
    <n v="69015"/>
    <n v="182"/>
    <s v="#MusicForEveryone"/>
    <s v="ChillVibes"/>
  </r>
  <r>
    <s v="SP062"/>
    <x v="1"/>
    <d v="2024-11-03T00:00:00"/>
    <x v="1"/>
    <s v="Wrapped is here! Relive your top tracks ðŸŽ§"/>
    <n v="1959"/>
    <n v="316"/>
    <n v="82"/>
    <n v="54036"/>
    <n v="4.3619068768968834"/>
    <n v="69015"/>
    <n v="182"/>
    <s v="#NowPlaying"/>
    <s v="ChillVibes"/>
  </r>
  <r>
    <s v="SP063"/>
    <x v="1"/>
    <d v="2024-07-07T00:00:00"/>
    <x v="0"/>
    <s v="New music just dropped. Hit play!"/>
    <n v="1035"/>
    <n v="137"/>
    <n v="184"/>
    <n v="37302"/>
    <n v="3.6351938233874859"/>
    <n v="68953"/>
    <n v="237"/>
    <s v="#SoundtrackOfLife"/>
    <s v="IndieWave"/>
  </r>
  <r>
    <s v="SP064"/>
    <x v="1"/>
    <d v="2025-01-22T00:00:00"/>
    <x v="1"/>
    <s v="New music just dropped. Hit play!"/>
    <n v="4478"/>
    <n v="101"/>
    <n v="121"/>
    <n v="51035"/>
    <n v="9.2093661212893121"/>
    <n v="58207"/>
    <n v="205"/>
    <s v="#MusicForEveryone"/>
    <s v="ChillVibes"/>
  </r>
  <r>
    <s v="SP064"/>
    <x v="1"/>
    <d v="2025-01-22T00:00:00"/>
    <x v="1"/>
    <s v="New music just dropped. Hit play!"/>
    <n v="4478"/>
    <n v="101"/>
    <n v="121"/>
    <n v="51035"/>
    <n v="9.2093661212893121"/>
    <n v="58207"/>
    <n v="205"/>
    <s v="#NowPlaying"/>
    <s v="ChillVibes"/>
  </r>
  <r>
    <s v="SP065"/>
    <x v="2"/>
    <d v="2024-05-26T00:00:00"/>
    <x v="0"/>
    <s v="From pop to podcasts, itâ€™s all here."/>
    <n v="1488"/>
    <n v="327"/>
    <n v="110"/>
    <n v="53805"/>
    <n v="3.5777344113000655"/>
    <n v="30239"/>
    <n v="109"/>
    <s v="#DiscoverWeekly"/>
    <s v="IndieWave"/>
  </r>
  <r>
    <s v="SP065"/>
    <x v="2"/>
    <d v="2024-05-26T00:00:00"/>
    <x v="0"/>
    <s v="From pop to podcasts, itâ€™s all here."/>
    <n v="1488"/>
    <n v="327"/>
    <n v="110"/>
    <n v="53805"/>
    <n v="3.5777344113000655"/>
    <n v="30239"/>
    <n v="109"/>
    <s v="#SpotifyWrapped"/>
    <s v="IndieWave"/>
  </r>
  <r>
    <s v="SP066"/>
    <x v="0"/>
    <d v="2025-04-16T00:00:00"/>
    <x v="0"/>
    <s v="Wrapped is here! Relive your top tracks ðŸŽ§"/>
    <n v="4836"/>
    <n v="331"/>
    <n v="140"/>
    <n v="58792"/>
    <n v="9.0267383317458165"/>
    <n v="47711"/>
    <n v="227"/>
    <s v="#SoundtrackOfLife"/>
    <s v="ChillVibes"/>
  </r>
  <r>
    <s v="SP066"/>
    <x v="0"/>
    <d v="2025-04-16T00:00:00"/>
    <x v="0"/>
    <s v="Wrapped is here! Relive your top tracks ðŸŽ§"/>
    <n v="4836"/>
    <n v="331"/>
    <n v="140"/>
    <n v="58792"/>
    <n v="9.0267383317458165"/>
    <n v="47711"/>
    <n v="227"/>
    <s v="#NowPlaying"/>
    <s v="ChillVibes"/>
  </r>
  <r>
    <s v="SP067"/>
    <x v="2"/>
    <d v="2024-04-02T00:00:00"/>
    <x v="2"/>
    <s v="Your weekend playlist is waiting."/>
    <n v="4563"/>
    <n v="488"/>
    <n v="356"/>
    <n v="30619"/>
    <n v="17.658969920637514"/>
    <n v="23328"/>
    <n v="267"/>
    <s v="#DiscoverWeekly"/>
    <s v="SummerBeats"/>
  </r>
  <r>
    <s v="SP067"/>
    <x v="2"/>
    <d v="2024-04-02T00:00:00"/>
    <x v="2"/>
    <s v="Your weekend playlist is waiting."/>
    <n v="4563"/>
    <n v="488"/>
    <n v="356"/>
    <n v="30619"/>
    <n v="17.658969920637514"/>
    <n v="23328"/>
    <n v="267"/>
    <s v="#SoundtrackOfLife"/>
    <s v="SummerBeats"/>
  </r>
  <r>
    <s v="SP068"/>
    <x v="1"/>
    <d v="2024-03-28T00:00:00"/>
    <x v="0"/>
    <s v="Music that moves youâ€”only on Spotify."/>
    <n v="3276"/>
    <n v="421"/>
    <n v="114"/>
    <n v="20580"/>
    <n v="18.517978620019438"/>
    <n v="30324"/>
    <n v="221"/>
    <s v="#SoundtrackOfLife"/>
    <s v="IndieWave"/>
  </r>
  <r>
    <s v="SP069"/>
    <x v="1"/>
    <d v="2024-12-17T00:00:00"/>
    <x v="1"/>
    <s v="Music that moves youâ€”only on Spotify."/>
    <n v="1316"/>
    <n v="472"/>
    <n v="286"/>
    <n v="44692"/>
    <n v="4.6406515707509168"/>
    <n v="53343"/>
    <n v="227"/>
    <s v="#DiscoverWeekly"/>
    <s v="ChillVibes"/>
  </r>
  <r>
    <s v="SP069"/>
    <x v="1"/>
    <d v="2024-12-17T00:00:00"/>
    <x v="1"/>
    <s v="Music that moves youâ€”only on Spotify."/>
    <n v="1316"/>
    <n v="472"/>
    <n v="286"/>
    <n v="44692"/>
    <n v="4.6406515707509168"/>
    <n v="53343"/>
    <n v="227"/>
    <s v="#MusicForEveryone"/>
    <s v="ChillVibes"/>
  </r>
  <r>
    <s v="SP070"/>
    <x v="1"/>
    <d v="2025-01-05T00:00:00"/>
    <x v="0"/>
    <s v="Wrapped is here! Relive your top tracks ðŸŽ§"/>
    <n v="4811"/>
    <n v="473"/>
    <n v="254"/>
    <n v="51964"/>
    <n v="10.657378184897237"/>
    <n v="68795"/>
    <n v="107"/>
    <s v="#NowPlaying"/>
    <s v="ChillVibes"/>
  </r>
  <r>
    <s v="SP071"/>
    <x v="1"/>
    <d v="2024-01-11T00:00:00"/>
    <x v="0"/>
    <s v="Whatâ€™s your vibe today? #SpotifyHits"/>
    <n v="4218"/>
    <n v="247"/>
    <n v="183"/>
    <n v="28914"/>
    <n v="16.07525766064882"/>
    <n v="18310"/>
    <n v="135"/>
    <s v="#SoundtrackOfLife"/>
    <s v="IndieWave"/>
  </r>
  <r>
    <s v="SP072"/>
    <x v="0"/>
    <d v="2024-10-11T00:00:00"/>
    <x v="0"/>
    <s v="From pop to podcasts, itâ€™s all here."/>
    <n v="1360"/>
    <n v="249"/>
    <n v="52"/>
    <n v="20368"/>
    <n v="8.1549489395129608"/>
    <n v="42152"/>
    <n v="193"/>
    <s v="#DiscoverWeekly"/>
    <s v="IndieWave"/>
  </r>
  <r>
    <s v="SP073"/>
    <x v="2"/>
    <d v="2025-05-06T00:00:00"/>
    <x v="2"/>
    <s v="Discover fresh beats on Spotify!"/>
    <n v="1085"/>
    <n v="496"/>
    <n v="320"/>
    <n v="36528"/>
    <n v="5.2042268944371441"/>
    <n v="38599"/>
    <n v="270"/>
    <s v="#DiscoverWeekly"/>
    <s v="SummerBeats"/>
  </r>
  <r>
    <s v="SP073"/>
    <x v="2"/>
    <d v="2025-05-06T00:00:00"/>
    <x v="2"/>
    <s v="Discover fresh beats on Spotify!"/>
    <n v="1085"/>
    <n v="496"/>
    <n v="320"/>
    <n v="36528"/>
    <n v="5.2042268944371441"/>
    <n v="38599"/>
    <n v="270"/>
    <s v="#SoundtrackOfLife"/>
    <s v="SummerBeats"/>
  </r>
  <r>
    <s v="SP074"/>
    <x v="1"/>
    <d v="2024-05-19T00:00:00"/>
    <x v="1"/>
    <s v="Get into the groove with our new drop!"/>
    <n v="1763"/>
    <n v="206"/>
    <n v="187"/>
    <n v="53342"/>
    <n v="4.0418432004799225"/>
    <n v="25095"/>
    <n v="88"/>
    <s v="#DiscoverWeekly"/>
    <s v="ChillVibes"/>
  </r>
  <r>
    <s v="SP074"/>
    <x v="1"/>
    <d v="2024-05-19T00:00:00"/>
    <x v="1"/>
    <s v="Get into the groove with our new drop!"/>
    <n v="1763"/>
    <n v="206"/>
    <n v="187"/>
    <n v="53342"/>
    <n v="4.0418432004799225"/>
    <n v="25095"/>
    <n v="88"/>
    <s v="#MusicForEveryone"/>
    <s v="ChillVibes"/>
  </r>
  <r>
    <s v="SP075"/>
    <x v="1"/>
    <d v="2024-01-22T00:00:00"/>
    <x v="1"/>
    <s v="From pop to podcasts, itâ€™s all here."/>
    <n v="1554"/>
    <n v="455"/>
    <n v="158"/>
    <n v="41947"/>
    <n v="5.1660428636136073"/>
    <n v="48578"/>
    <n v="101"/>
    <s v="#SoundtrackOfLife"/>
    <s v="ChillVibes"/>
  </r>
  <r>
    <s v="SP075"/>
    <x v="1"/>
    <d v="2024-01-22T00:00:00"/>
    <x v="1"/>
    <s v="From pop to podcasts, itâ€™s all here."/>
    <n v="1554"/>
    <n v="455"/>
    <n v="158"/>
    <n v="41947"/>
    <n v="5.1660428636136073"/>
    <n v="48578"/>
    <n v="101"/>
    <s v="#NowPlaying"/>
    <s v="ChillVibes"/>
  </r>
  <r>
    <s v="SP076"/>
    <x v="0"/>
    <d v="2024-07-14T00:00:00"/>
    <x v="0"/>
    <s v="Wrapped is here! Relive your top tracks ðŸŽ§"/>
    <n v="2464"/>
    <n v="401"/>
    <n v="78"/>
    <n v="38665"/>
    <n v="7.6115349799560317"/>
    <n v="73593"/>
    <n v="207"/>
    <s v="#DiscoverWeekly"/>
    <s v="IndieWave"/>
  </r>
  <r>
    <s v="SP077"/>
    <x v="1"/>
    <d v="2025-05-28T00:00:00"/>
    <x v="0"/>
    <s v="From pop to podcasts, itâ€™s all here."/>
    <n v="2418"/>
    <n v="161"/>
    <n v="360"/>
    <n v="30589"/>
    <n v="9.6080290300434807"/>
    <n v="41383"/>
    <n v="88"/>
    <s v="#NowPlaying"/>
    <s v="ChillVibes"/>
  </r>
  <r>
    <s v="SP078"/>
    <x v="1"/>
    <d v="2025-01-21T00:00:00"/>
    <x v="1"/>
    <s v="Discover fresh beats on Spotify!"/>
    <n v="2494"/>
    <n v="494"/>
    <n v="55"/>
    <n v="22580"/>
    <n v="13.476527900797167"/>
    <n v="22214"/>
    <n v="109"/>
    <s v="#MusicForEveryone"/>
    <s v="ChillVibes"/>
  </r>
  <r>
    <s v="SP078"/>
    <x v="1"/>
    <d v="2025-01-21T00:00:00"/>
    <x v="1"/>
    <s v="Discover fresh beats on Spotify!"/>
    <n v="2494"/>
    <n v="494"/>
    <n v="55"/>
    <n v="22580"/>
    <n v="13.476527900797167"/>
    <n v="22214"/>
    <n v="109"/>
    <s v="#NowPlaying"/>
    <s v="ChillVibes"/>
  </r>
  <r>
    <s v="SP079"/>
    <x v="2"/>
    <d v="2024-01-13T00:00:00"/>
    <x v="2"/>
    <s v="New music just dropped. Hit play!"/>
    <n v="4781"/>
    <n v="191"/>
    <n v="122"/>
    <n v="35535"/>
    <n v="14.335162515829463"/>
    <n v="50777"/>
    <n v="128"/>
    <s v="#DiscoverWeekly"/>
    <s v="SummerBeats"/>
  </r>
  <r>
    <s v="SP079"/>
    <x v="2"/>
    <d v="2024-01-13T00:00:00"/>
    <x v="2"/>
    <s v="New music just dropped. Hit play!"/>
    <n v="4781"/>
    <n v="191"/>
    <n v="122"/>
    <n v="35535"/>
    <n v="14.335162515829463"/>
    <n v="50777"/>
    <n v="128"/>
    <s v="#SoundtrackOfLife"/>
    <s v="SummerBeats"/>
  </r>
  <r>
    <s v="SP080"/>
    <x v="0"/>
    <d v="2025-06-17T00:00:00"/>
    <x v="0"/>
    <s v="Music that moves youâ€”only on Spotify."/>
    <n v="2284"/>
    <n v="187"/>
    <n v="260"/>
    <n v="37400"/>
    <n v="7.3021390374331556"/>
    <n v="65014"/>
    <n v="157"/>
    <s v="#SoundtrackOfLife"/>
    <s v="ChillVibes"/>
  </r>
  <r>
    <s v="SP080"/>
    <x v="0"/>
    <d v="2025-06-17T00:00:00"/>
    <x v="0"/>
    <s v="Music that moves youâ€”only on Spotify."/>
    <n v="2284"/>
    <n v="187"/>
    <n v="260"/>
    <n v="37400"/>
    <n v="7.3021390374331556"/>
    <n v="65014"/>
    <n v="157"/>
    <s v="#NowPlaying"/>
    <s v="ChillVibes"/>
  </r>
  <r>
    <s v="SP081"/>
    <x v="1"/>
    <d v="2025-03-07T00:00:00"/>
    <x v="0"/>
    <s v="Get into the groove with our new drop!"/>
    <n v="4234"/>
    <n v="486"/>
    <n v="276"/>
    <n v="56623"/>
    <n v="8.8232696960599046"/>
    <n v="41343"/>
    <n v="184"/>
    <s v="#SoundtrackOfLife"/>
    <s v="IndieWave"/>
  </r>
  <r>
    <s v="SP082"/>
    <x v="0"/>
    <d v="2024-08-26T00:00:00"/>
    <x v="0"/>
    <s v="Your weekend playlist is waiting."/>
    <n v="2102"/>
    <n v="181"/>
    <n v="306"/>
    <n v="43650"/>
    <n v="5.9312714776632305"/>
    <n v="50079"/>
    <n v="182"/>
    <s v="#DiscoverWeekly"/>
    <s v="IndieWave"/>
  </r>
  <r>
    <s v="SP083"/>
    <x v="1"/>
    <d v="2025-01-03T00:00:00"/>
    <x v="1"/>
    <s v="Get into the groove with our new drop!"/>
    <n v="4845"/>
    <n v="158"/>
    <n v="84"/>
    <n v="34578"/>
    <n v="14.711666377465441"/>
    <n v="51480"/>
    <n v="180"/>
    <s v="#SoundtrackOfLife"/>
    <s v="ChillVibes"/>
  </r>
  <r>
    <s v="SP083"/>
    <x v="1"/>
    <d v="2025-01-03T00:00:00"/>
    <x v="1"/>
    <s v="Get into the groove with our new drop!"/>
    <n v="4845"/>
    <n v="158"/>
    <n v="84"/>
    <n v="34578"/>
    <n v="14.711666377465441"/>
    <n v="51480"/>
    <n v="180"/>
    <s v="#NowPlaying"/>
    <s v="ChillVibes"/>
  </r>
  <r>
    <s v="SP084"/>
    <x v="1"/>
    <d v="2024-08-03T00:00:00"/>
    <x v="0"/>
    <s v="Your weekend playlist is waiting."/>
    <n v="4247"/>
    <n v="390"/>
    <n v="213"/>
    <n v="29785"/>
    <n v="16.283364109451064"/>
    <n v="57768"/>
    <n v="122"/>
    <s v="#NowPlaying"/>
    <s v="ChillVibes"/>
  </r>
  <r>
    <s v="SP085"/>
    <x v="0"/>
    <d v="2024-08-18T00:00:00"/>
    <x v="0"/>
    <s v="Explore the latest podcasts now."/>
    <n v="2965"/>
    <n v="328"/>
    <n v="171"/>
    <n v="57685"/>
    <n v="6.005027303458438"/>
    <n v="67536"/>
    <n v="264"/>
    <s v="#SoundtrackOfLife"/>
    <s v="ChillVibes"/>
  </r>
  <r>
    <s v="SP085"/>
    <x v="0"/>
    <d v="2024-08-18T00:00:00"/>
    <x v="0"/>
    <s v="Explore the latest podcasts now."/>
    <n v="2965"/>
    <n v="328"/>
    <n v="171"/>
    <n v="57685"/>
    <n v="6.005027303458438"/>
    <n v="67536"/>
    <n v="264"/>
    <s v="#NowPlaying"/>
    <s v="ChillVibes"/>
  </r>
  <r>
    <s v="SP086"/>
    <x v="1"/>
    <d v="2025-05-14T00:00:00"/>
    <x v="1"/>
    <s v="Wrapped is here! Relive your top tracks ðŸŽ§"/>
    <n v="1371"/>
    <n v="139"/>
    <n v="96"/>
    <n v="36140"/>
    <n v="4.4438295517432209"/>
    <n v="39395"/>
    <n v="169"/>
    <s v="#SoundtrackOfLife"/>
    <s v="ChillVibes"/>
  </r>
  <r>
    <s v="SP086"/>
    <x v="1"/>
    <d v="2025-05-14T00:00:00"/>
    <x v="1"/>
    <s v="Wrapped is here! Relive your top tracks ðŸŽ§"/>
    <n v="1371"/>
    <n v="139"/>
    <n v="96"/>
    <n v="36140"/>
    <n v="4.4438295517432209"/>
    <n v="39395"/>
    <n v="169"/>
    <s v="#NowPlaying"/>
    <s v="ChillVibes"/>
  </r>
  <r>
    <s v="SP087"/>
    <x v="1"/>
    <d v="2024-04-23T00:00:00"/>
    <x v="1"/>
    <s v="Discover fresh beats on Spotify!"/>
    <n v="2683"/>
    <n v="496"/>
    <n v="89"/>
    <n v="53435"/>
    <n v="6.1158416768035933"/>
    <n v="30334"/>
    <n v="160"/>
    <s v="#SoundtrackOfLife"/>
    <s v="ChillVibes"/>
  </r>
  <r>
    <s v="SP087"/>
    <x v="1"/>
    <d v="2024-04-23T00:00:00"/>
    <x v="1"/>
    <s v="Discover fresh beats on Spotify!"/>
    <n v="2683"/>
    <n v="496"/>
    <n v="89"/>
    <n v="53435"/>
    <n v="6.1158416768035933"/>
    <n v="30334"/>
    <n v="160"/>
    <s v="#NowPlaying"/>
    <s v="ChillVibes"/>
  </r>
  <r>
    <s v="SP088"/>
    <x v="1"/>
    <d v="2025-02-17T00:00:00"/>
    <x v="1"/>
    <s v="Whatâ€™s your vibe today? #SpotifyHits"/>
    <n v="4796"/>
    <n v="427"/>
    <n v="339"/>
    <n v="30752"/>
    <n v="18.086628511966701"/>
    <n v="33870"/>
    <n v="298"/>
    <s v="#SoundtrackOfLife"/>
    <s v="ChillVibes"/>
  </r>
  <r>
    <s v="SP088"/>
    <x v="1"/>
    <d v="2025-02-17T00:00:00"/>
    <x v="1"/>
    <s v="Whatâ€™s your vibe today? #SpotifyHits"/>
    <n v="4796"/>
    <n v="427"/>
    <n v="339"/>
    <n v="30752"/>
    <n v="18.086628511966701"/>
    <n v="33870"/>
    <n v="298"/>
    <s v="#NowPlaying"/>
    <s v="ChillVibes"/>
  </r>
  <r>
    <s v="SP089"/>
    <x v="0"/>
    <d v="2024-12-04T00:00:00"/>
    <x v="0"/>
    <s v="Wrapped is here! Relive your top tracks ðŸŽ§"/>
    <n v="2601"/>
    <n v="336"/>
    <n v="260"/>
    <n v="32368"/>
    <n v="9.8770390509144832"/>
    <n v="49028"/>
    <n v="120"/>
    <s v="#SoundtrackOfLife"/>
    <s v="ChillVibes"/>
  </r>
  <r>
    <s v="SP089"/>
    <x v="0"/>
    <d v="2024-12-04T00:00:00"/>
    <x v="0"/>
    <s v="Wrapped is here! Relive your top tracks ðŸŽ§"/>
    <n v="2601"/>
    <n v="336"/>
    <n v="260"/>
    <n v="32368"/>
    <n v="9.8770390509144832"/>
    <n v="49028"/>
    <n v="120"/>
    <s v="#NowPlaying"/>
    <s v="ChillVibes"/>
  </r>
  <r>
    <s v="SP090"/>
    <x v="1"/>
    <d v="2024-07-22T00:00:00"/>
    <x v="1"/>
    <s v="Wrapped is here! Relive your top tracks ðŸŽ§"/>
    <n v="3336"/>
    <n v="229"/>
    <n v="337"/>
    <n v="22117"/>
    <n v="17.642537414658406"/>
    <n v="26205"/>
    <n v="160"/>
    <s v="#MusicForEveryone"/>
    <s v="ChillVibes"/>
  </r>
  <r>
    <s v="SP090"/>
    <x v="1"/>
    <d v="2024-07-22T00:00:00"/>
    <x v="1"/>
    <s v="Wrapped is here! Relive your top tracks ðŸŽ§"/>
    <n v="3336"/>
    <n v="229"/>
    <n v="337"/>
    <n v="22117"/>
    <n v="17.642537414658406"/>
    <n v="26205"/>
    <n v="160"/>
    <s v="#NowPlaying"/>
    <s v="ChillVibes"/>
  </r>
  <r>
    <s v="SP091"/>
    <x v="1"/>
    <d v="2025-04-27T00:00:00"/>
    <x v="0"/>
    <s v="Explore the latest podcasts now."/>
    <n v="1165"/>
    <n v="294"/>
    <n v="163"/>
    <n v="20659"/>
    <n v="7.8512996756861426"/>
    <n v="45926"/>
    <n v="111"/>
    <s v="#SoundtrackOfLife"/>
    <s v="IndieWave"/>
  </r>
  <r>
    <s v="SP092"/>
    <x v="2"/>
    <d v="2024-03-25T00:00:00"/>
    <x v="2"/>
    <s v="Explore the latest podcasts now."/>
    <n v="1948"/>
    <n v="155"/>
    <n v="315"/>
    <n v="30321"/>
    <n v="7.974671020085089"/>
    <n v="57121"/>
    <n v="82"/>
    <s v="#DiscoverWeekly"/>
    <s v="SummerBeats"/>
  </r>
  <r>
    <s v="SP092"/>
    <x v="2"/>
    <d v="2024-03-25T00:00:00"/>
    <x v="2"/>
    <s v="Explore the latest podcasts now."/>
    <n v="1948"/>
    <n v="155"/>
    <n v="315"/>
    <n v="30321"/>
    <n v="7.974671020085089"/>
    <n v="57121"/>
    <n v="82"/>
    <s v="#SoundtrackOfLife"/>
    <s v="SummerBeats"/>
  </r>
  <r>
    <s v="SP093"/>
    <x v="0"/>
    <d v="2024-02-29T00:00:00"/>
    <x v="0"/>
    <s v="From pop to podcasts, itâ€™s all here."/>
    <n v="1100"/>
    <n v="229"/>
    <n v="312"/>
    <n v="25641"/>
    <n v="6.3999063999063992"/>
    <n v="34601"/>
    <n v="169"/>
    <s v="#DiscoverWeekly"/>
    <s v="IndieWave"/>
  </r>
  <r>
    <s v="SP094"/>
    <x v="1"/>
    <d v="2024-11-13T00:00:00"/>
    <x v="1"/>
    <s v="Top trending tracks updated daily!"/>
    <n v="4628"/>
    <n v="257"/>
    <n v="397"/>
    <n v="36686"/>
    <n v="14.397862944992641"/>
    <n v="54683"/>
    <n v="98"/>
    <s v="#SoundtrackOfLife"/>
    <s v="ChillVibes"/>
  </r>
  <r>
    <s v="SP094"/>
    <x v="1"/>
    <d v="2024-11-13T00:00:00"/>
    <x v="1"/>
    <s v="Top trending tracks updated daily!"/>
    <n v="4628"/>
    <n v="257"/>
    <n v="397"/>
    <n v="36686"/>
    <n v="14.397862944992641"/>
    <n v="54683"/>
    <n v="98"/>
    <s v="#NowPlaying"/>
    <s v="ChillVibes"/>
  </r>
  <r>
    <s v="SP095"/>
    <x v="0"/>
    <d v="2024-03-22T00:00:00"/>
    <x v="1"/>
    <s v="Discover fresh beats on Spotify!"/>
    <n v="2319"/>
    <n v="484"/>
    <n v="193"/>
    <n v="21202"/>
    <n v="14.130742382794075"/>
    <n v="18091"/>
    <n v="241"/>
    <s v="#NowPlaying"/>
    <s v="Wrapped2024"/>
  </r>
  <r>
    <s v="SP096"/>
    <x v="1"/>
    <d v="2024-03-16T00:00:00"/>
    <x v="1"/>
    <s v="Wrapped is here! Relive your top tracks ðŸŽ§"/>
    <n v="2895"/>
    <n v="292"/>
    <n v="90"/>
    <n v="24223"/>
    <n v="13.528464682326714"/>
    <n v="54626"/>
    <n v="114"/>
    <s v="#SoundtrackOfLife"/>
    <s v="ChillVibes"/>
  </r>
  <r>
    <s v="SP096"/>
    <x v="1"/>
    <d v="2024-03-16T00:00:00"/>
    <x v="1"/>
    <s v="Wrapped is here! Relive your top tracks ðŸŽ§"/>
    <n v="2895"/>
    <n v="292"/>
    <n v="90"/>
    <n v="24223"/>
    <n v="13.528464682326714"/>
    <n v="54626"/>
    <n v="114"/>
    <s v="#NowPlaying"/>
    <s v="ChillVibes"/>
  </r>
  <r>
    <s v="SP097"/>
    <x v="0"/>
    <d v="2024-01-26T00:00:00"/>
    <x v="0"/>
    <s v="Whatâ€™s your vibe today? #SpotifyHits"/>
    <n v="3878"/>
    <n v="431"/>
    <n v="97"/>
    <n v="41763"/>
    <n v="10.550008380623996"/>
    <n v="29729"/>
    <n v="191"/>
    <s v="#DiscoverWeekly"/>
    <s v="IndieWave"/>
  </r>
  <r>
    <s v="SP098"/>
    <x v="1"/>
    <d v="2024-03-15T00:00:00"/>
    <x v="1"/>
    <s v="Get into the groove with our new drop!"/>
    <n v="4969"/>
    <n v="433"/>
    <n v="237"/>
    <n v="59552"/>
    <n v="9.4690354648038682"/>
    <n v="23885"/>
    <n v="157"/>
    <s v="#DiscoverWeekly"/>
    <s v="ChillVibes"/>
  </r>
  <r>
    <s v="SP098"/>
    <x v="1"/>
    <d v="2024-03-15T00:00:00"/>
    <x v="1"/>
    <s v="Get into the groove with our new drop!"/>
    <n v="4969"/>
    <n v="433"/>
    <n v="237"/>
    <n v="59552"/>
    <n v="9.4690354648038682"/>
    <n v="23885"/>
    <n v="157"/>
    <s v="#MusicForEveryone"/>
    <s v="ChillVibes"/>
  </r>
  <r>
    <s v="SP099"/>
    <x v="1"/>
    <d v="2024-10-15T00:00:00"/>
    <x v="0"/>
    <s v="Wrapped is here! Relive your top tracks ðŸŽ§"/>
    <n v="1984"/>
    <n v="481"/>
    <n v="356"/>
    <n v="40681"/>
    <n v="6.9344411395983379"/>
    <n v="63111"/>
    <n v="258"/>
    <s v="#NowPlaying"/>
    <s v="ChillVibes"/>
  </r>
  <r>
    <s v="SP100"/>
    <x v="0"/>
    <d v="2024-07-21T00:00:00"/>
    <x v="0"/>
    <s v="Discover fresh beats on Spotify!"/>
    <n v="3004"/>
    <n v="415"/>
    <n v="218"/>
    <n v="36090"/>
    <n v="10.077583818232197"/>
    <n v="37073"/>
    <n v="181"/>
    <s v="#DiscoverWeekly"/>
    <s v="IndieWave"/>
  </r>
  <r>
    <s v="SP101"/>
    <x v="1"/>
    <d v="2024-10-12T00:00:00"/>
    <x v="0"/>
    <s v="Get into the groove with our new drop!"/>
    <n v="3169"/>
    <n v="386"/>
    <n v="175"/>
    <n v="45012"/>
    <n v="8.2866791077934785"/>
    <n v="38508"/>
    <n v="218"/>
    <s v="#NowPlaying"/>
    <s v="ChillVibes"/>
  </r>
  <r>
    <s v="SP102"/>
    <x v="1"/>
    <d v="2024-10-26T00:00:00"/>
    <x v="0"/>
    <s v="Discover fresh beats on Spotify!"/>
    <n v="3036"/>
    <n v="293"/>
    <n v="115"/>
    <n v="23776"/>
    <n v="14.485195154777927"/>
    <n v="46386"/>
    <n v="282"/>
    <s v="#NowPlaying"/>
    <s v="ChillVibes"/>
  </r>
  <r>
    <s v="SP103"/>
    <x v="0"/>
    <d v="2024-02-14T00:00:00"/>
    <x v="0"/>
    <s v="Music that moves youâ€”only on Spotify."/>
    <n v="1830"/>
    <n v="112"/>
    <n v="181"/>
    <n v="31870"/>
    <n v="6.6614370881706932"/>
    <n v="55742"/>
    <n v="263"/>
    <s v="#SoundtrackOfLife"/>
    <s v="ChillVibes"/>
  </r>
  <r>
    <s v="SP103"/>
    <x v="0"/>
    <d v="2024-02-14T00:00:00"/>
    <x v="0"/>
    <s v="Music that moves youâ€”only on Spotify."/>
    <n v="1830"/>
    <n v="112"/>
    <n v="181"/>
    <n v="31870"/>
    <n v="6.6614370881706932"/>
    <n v="55742"/>
    <n v="263"/>
    <s v="#NowPlaying"/>
    <s v="ChillVibes"/>
  </r>
  <r>
    <s v="SP104"/>
    <x v="1"/>
    <d v="2024-05-01T00:00:00"/>
    <x v="1"/>
    <s v="Whatâ€™s your vibe today? #SpotifyHits"/>
    <n v="2587"/>
    <n v="447"/>
    <n v="183"/>
    <n v="36266"/>
    <n v="8.8705674736667941"/>
    <n v="32877"/>
    <n v="132"/>
    <s v="#DiscoverWeekly"/>
    <s v="ChillVibes"/>
  </r>
  <r>
    <s v="SP104"/>
    <x v="1"/>
    <d v="2024-05-01T00:00:00"/>
    <x v="1"/>
    <s v="Whatâ€™s your vibe today? #SpotifyHits"/>
    <n v="2587"/>
    <n v="447"/>
    <n v="183"/>
    <n v="36266"/>
    <n v="8.8705674736667941"/>
    <n v="32877"/>
    <n v="132"/>
    <s v="#MusicForEveryone"/>
    <s v="ChillVibes"/>
  </r>
  <r>
    <s v="SP105"/>
    <x v="1"/>
    <d v="2024-09-18T00:00:00"/>
    <x v="0"/>
    <s v="Discover fresh beats on Spotify!"/>
    <n v="2878"/>
    <n v="265"/>
    <n v="91"/>
    <n v="52090"/>
    <n v="6.2084853138798231"/>
    <n v="28924"/>
    <n v="133"/>
    <s v="#NowPlaying"/>
    <s v="ChillVibes"/>
  </r>
  <r>
    <s v="SP106"/>
    <x v="1"/>
    <d v="2025-01-20T00:00:00"/>
    <x v="1"/>
    <s v="New music just dropped. Hit play!"/>
    <n v="4619"/>
    <n v="272"/>
    <n v="57"/>
    <n v="21334"/>
    <n v="23.193025217961939"/>
    <n v="46292"/>
    <n v="91"/>
    <s v="#SoundtrackOfLife"/>
    <s v="ChillVibes"/>
  </r>
  <r>
    <s v="SP106"/>
    <x v="1"/>
    <d v="2025-01-20T00:00:00"/>
    <x v="1"/>
    <s v="New music just dropped. Hit play!"/>
    <n v="4619"/>
    <n v="272"/>
    <n v="57"/>
    <n v="21334"/>
    <n v="23.193025217961939"/>
    <n v="46292"/>
    <n v="91"/>
    <s v="#NowPlaying"/>
    <s v="ChillVibes"/>
  </r>
  <r>
    <s v="SP107"/>
    <x v="1"/>
    <d v="2025-01-13T00:00:00"/>
    <x v="0"/>
    <s v="Music that moves youâ€”only on Spotify."/>
    <n v="4090"/>
    <n v="209"/>
    <n v="278"/>
    <n v="52853"/>
    <n v="8.659867935594951"/>
    <n v="57084"/>
    <n v="102"/>
    <s v="#SoundtrackOfLife"/>
    <s v="IndieWave"/>
  </r>
  <r>
    <s v="SP108"/>
    <x v="2"/>
    <d v="2024-09-07T00:00:00"/>
    <x v="2"/>
    <s v="Music that moves youâ€”only on Spotify."/>
    <n v="3882"/>
    <n v="342"/>
    <n v="374"/>
    <n v="41991"/>
    <n v="10.949965468790932"/>
    <n v="48554"/>
    <n v="118"/>
    <s v="#DiscoverWeekly"/>
    <s v="SummerBeats"/>
  </r>
  <r>
    <s v="SP108"/>
    <x v="2"/>
    <d v="2024-09-07T00:00:00"/>
    <x v="2"/>
    <s v="Music that moves youâ€”only on Spotify."/>
    <n v="3882"/>
    <n v="342"/>
    <n v="374"/>
    <n v="41991"/>
    <n v="10.949965468790932"/>
    <n v="48554"/>
    <n v="118"/>
    <s v="#SoundtrackOfLife"/>
    <s v="SummerBeats"/>
  </r>
  <r>
    <s v="SP109"/>
    <x v="0"/>
    <d v="2024-11-21T00:00:00"/>
    <x v="0"/>
    <s v="Music that moves youâ€”only on Spotify."/>
    <n v="4581"/>
    <n v="181"/>
    <n v="112"/>
    <n v="35221"/>
    <n v="13.838335084182733"/>
    <n v="28797"/>
    <n v="164"/>
    <s v="#SoundtrackOfLife"/>
    <s v="ChillVibes"/>
  </r>
  <r>
    <s v="SP109"/>
    <x v="0"/>
    <d v="2024-11-21T00:00:00"/>
    <x v="0"/>
    <s v="Music that moves youâ€”only on Spotify."/>
    <n v="4581"/>
    <n v="181"/>
    <n v="112"/>
    <n v="35221"/>
    <n v="13.838335084182733"/>
    <n v="28797"/>
    <n v="164"/>
    <s v="#NowPlaying"/>
    <s v="ChillVibes"/>
  </r>
  <r>
    <s v="SP110"/>
    <x v="0"/>
    <d v="2024-06-26T00:00:00"/>
    <x v="0"/>
    <s v="New music just dropped. Hit play!"/>
    <n v="3253"/>
    <n v="483"/>
    <n v="336"/>
    <n v="25397"/>
    <n v="16.033389770445329"/>
    <n v="51485"/>
    <n v="131"/>
    <s v="#DiscoverWeekly"/>
    <s v="IndieWave"/>
  </r>
  <r>
    <s v="SP111"/>
    <x v="2"/>
    <d v="2024-07-20T00:00:00"/>
    <x v="2"/>
    <s v="Music that moves youâ€”only on Spotify."/>
    <n v="4955"/>
    <n v="299"/>
    <n v="345"/>
    <n v="33644"/>
    <n v="16.641897515158721"/>
    <n v="43547"/>
    <n v="194"/>
    <s v="#DiscoverWeekly"/>
    <s v="SummerBeats"/>
  </r>
  <r>
    <s v="SP111"/>
    <x v="2"/>
    <d v="2024-07-20T00:00:00"/>
    <x v="2"/>
    <s v="Music that moves youâ€”only on Spotify."/>
    <n v="4955"/>
    <n v="299"/>
    <n v="345"/>
    <n v="33644"/>
    <n v="16.641897515158721"/>
    <n v="43547"/>
    <n v="194"/>
    <s v="#SoundtrackOfLife"/>
    <s v="SummerBeats"/>
  </r>
  <r>
    <s v="SP112"/>
    <x v="0"/>
    <d v="2025-02-16T00:00:00"/>
    <x v="0"/>
    <s v="Your weekend playlist is waiting."/>
    <n v="1333"/>
    <n v="286"/>
    <n v="298"/>
    <n v="36174"/>
    <n v="5.2993862995521646"/>
    <n v="34517"/>
    <n v="170"/>
    <s v="#SoundtrackOfLife"/>
    <s v="ChillVibes"/>
  </r>
  <r>
    <s v="SP112"/>
    <x v="0"/>
    <d v="2025-02-16T00:00:00"/>
    <x v="0"/>
    <s v="Your weekend playlist is waiting."/>
    <n v="1333"/>
    <n v="286"/>
    <n v="298"/>
    <n v="36174"/>
    <n v="5.2993862995521646"/>
    <n v="34517"/>
    <n v="170"/>
    <s v="#NowPlaying"/>
    <s v="ChillVibes"/>
  </r>
  <r>
    <s v="SP113"/>
    <x v="0"/>
    <d v="2024-09-09T00:00:00"/>
    <x v="0"/>
    <s v="New music just dropped. Hit play!"/>
    <n v="1616"/>
    <n v="360"/>
    <n v="180"/>
    <n v="54342"/>
    <n v="3.967465312281476"/>
    <n v="18796"/>
    <n v="282"/>
    <s v="#SoundtrackOfLife"/>
    <s v="ChillVibes"/>
  </r>
  <r>
    <s v="SP113"/>
    <x v="0"/>
    <d v="2024-09-09T00:00:00"/>
    <x v="0"/>
    <s v="New music just dropped. Hit play!"/>
    <n v="1616"/>
    <n v="360"/>
    <n v="180"/>
    <n v="54342"/>
    <n v="3.967465312281476"/>
    <n v="18796"/>
    <n v="282"/>
    <s v="#NowPlaying"/>
    <s v="ChillVibes"/>
  </r>
  <r>
    <s v="SP114"/>
    <x v="1"/>
    <d v="2024-07-16T00:00:00"/>
    <x v="0"/>
    <s v="Top trending tracks updated daily!"/>
    <n v="1803"/>
    <n v="273"/>
    <n v="287"/>
    <n v="46176"/>
    <n v="5.1173769923769923"/>
    <n v="25488"/>
    <n v="141"/>
    <s v="#NowPlaying"/>
    <s v="ChillVibes"/>
  </r>
  <r>
    <s v="SP115"/>
    <x v="0"/>
    <d v="2025-04-15T00:00:00"/>
    <x v="0"/>
    <s v="Explore the latest podcasts now."/>
    <n v="4177"/>
    <n v="489"/>
    <n v="331"/>
    <n v="57451"/>
    <n v="8.6978468608031196"/>
    <n v="73793"/>
    <n v="251"/>
    <s v="#DiscoverWeekly"/>
    <s v="IndieWave"/>
  </r>
  <r>
    <s v="SP116"/>
    <x v="0"/>
    <d v="2025-05-04T00:00:00"/>
    <x v="1"/>
    <s v="New music just dropped. Hit play!"/>
    <n v="1311"/>
    <n v="181"/>
    <n v="361"/>
    <n v="37148"/>
    <n v="4.9881554861634543"/>
    <n v="44875"/>
    <n v="245"/>
    <s v="#NowPlaying"/>
    <s v="Wrapped2024"/>
  </r>
  <r>
    <s v="SP117"/>
    <x v="0"/>
    <d v="2024-02-18T00:00:00"/>
    <x v="1"/>
    <s v="From pop to podcasts, itâ€™s all here."/>
    <n v="1516"/>
    <n v="215"/>
    <n v="332"/>
    <n v="58981"/>
    <n v="3.4977365592309386"/>
    <n v="36118"/>
    <n v="211"/>
    <s v="#NowPlaying"/>
    <s v="Wrapped2024"/>
  </r>
  <r>
    <s v="SP118"/>
    <x v="1"/>
    <d v="2024-05-16T00:00:00"/>
    <x v="1"/>
    <s v="Music that moves youâ€”only on Spotify."/>
    <n v="2023"/>
    <n v="124"/>
    <n v="99"/>
    <n v="54524"/>
    <n v="4.119286919521679"/>
    <n v="34790"/>
    <n v="195"/>
    <s v="#DiscoverWeekly"/>
    <s v="ChillVibes"/>
  </r>
  <r>
    <s v="SP118"/>
    <x v="1"/>
    <d v="2024-05-16T00:00:00"/>
    <x v="1"/>
    <s v="Music that moves youâ€”only on Spotify."/>
    <n v="2023"/>
    <n v="124"/>
    <n v="99"/>
    <n v="54524"/>
    <n v="4.119286919521679"/>
    <n v="34790"/>
    <n v="195"/>
    <s v="#MusicForEveryone"/>
    <s v="ChillVibes"/>
  </r>
  <r>
    <s v="SP119"/>
    <x v="1"/>
    <d v="2025-05-29T00:00:00"/>
    <x v="1"/>
    <s v="Music that moves youâ€”only on Spotify."/>
    <n v="2134"/>
    <n v="322"/>
    <n v="114"/>
    <n v="44338"/>
    <n v="5.7963823356939868"/>
    <n v="52165"/>
    <n v="176"/>
    <s v="#MusicForEveryone"/>
    <s v="ChillVibes"/>
  </r>
  <r>
    <s v="SP119"/>
    <x v="1"/>
    <d v="2025-05-29T00:00:00"/>
    <x v="1"/>
    <s v="Music that moves youâ€”only on Spotify."/>
    <n v="2134"/>
    <n v="322"/>
    <n v="114"/>
    <n v="44338"/>
    <n v="5.7963823356939868"/>
    <n v="52165"/>
    <n v="176"/>
    <s v="#NowPlaying"/>
    <s v="ChillVibes"/>
  </r>
  <r>
    <s v="SP120"/>
    <x v="0"/>
    <d v="2025-01-17T00:00:00"/>
    <x v="0"/>
    <s v="Top trending tracks updated daily!"/>
    <n v="2266"/>
    <n v="126"/>
    <n v="140"/>
    <n v="53759"/>
    <n v="4.7099090384865789"/>
    <n v="46834"/>
    <n v="277"/>
    <s v="#DiscoverWeekly"/>
    <s v="IndieWave"/>
  </r>
  <r>
    <s v="SP121"/>
    <x v="0"/>
    <d v="2025-04-30T00:00:00"/>
    <x v="1"/>
    <s v="New music just dropped. Hit play!"/>
    <n v="3916"/>
    <n v="459"/>
    <n v="229"/>
    <n v="48989"/>
    <n v="9.3980281287635989"/>
    <n v="39768"/>
    <n v="200"/>
    <s v="#NowPlaying"/>
    <s v="Wrapped2024"/>
  </r>
  <r>
    <s v="SP122"/>
    <x v="1"/>
    <d v="2024-02-24T00:00:00"/>
    <x v="1"/>
    <s v="Music that moves youâ€”only on Spotify."/>
    <n v="1022"/>
    <n v="463"/>
    <n v="360"/>
    <n v="51468"/>
    <n v="3.5847516903707159"/>
    <n v="24279"/>
    <n v="230"/>
    <s v="#DiscoverWeekly"/>
    <s v="ChillVibes"/>
  </r>
  <r>
    <s v="SP122"/>
    <x v="1"/>
    <d v="2024-02-24T00:00:00"/>
    <x v="1"/>
    <s v="Music that moves youâ€”only on Spotify."/>
    <n v="1022"/>
    <n v="463"/>
    <n v="360"/>
    <n v="51468"/>
    <n v="3.5847516903707159"/>
    <n v="24279"/>
    <n v="230"/>
    <s v="#MusicForEveryone"/>
    <s v="ChillVibes"/>
  </r>
  <r>
    <s v="SP123"/>
    <x v="2"/>
    <d v="2024-05-12T00:00:00"/>
    <x v="0"/>
    <s v="From pop to podcasts, itâ€™s all here."/>
    <n v="2911"/>
    <n v="467"/>
    <n v="94"/>
    <n v="59083"/>
    <n v="5.8764788517847775"/>
    <n v="49762"/>
    <n v="236"/>
    <s v="#DiscoverWeekly"/>
    <s v="IndieWave"/>
  </r>
  <r>
    <s v="SP123"/>
    <x v="2"/>
    <d v="2024-05-12T00:00:00"/>
    <x v="0"/>
    <s v="From pop to podcasts, itâ€™s all here."/>
    <n v="2911"/>
    <n v="467"/>
    <n v="94"/>
    <n v="59083"/>
    <n v="5.8764788517847775"/>
    <n v="49762"/>
    <n v="236"/>
    <s v="#SpotifyWrapped"/>
    <s v="IndieWave"/>
  </r>
  <r>
    <s v="SP124"/>
    <x v="1"/>
    <d v="2024-05-09T00:00:00"/>
    <x v="1"/>
    <s v="New music just dropped. Hit play!"/>
    <n v="3277"/>
    <n v="423"/>
    <n v="259"/>
    <n v="46328"/>
    <n v="8.545587981350371"/>
    <n v="44293"/>
    <n v="299"/>
    <s v="#SoundtrackOfLife"/>
    <s v="ChillVibes"/>
  </r>
  <r>
    <s v="SP124"/>
    <x v="1"/>
    <d v="2024-05-09T00:00:00"/>
    <x v="1"/>
    <s v="New music just dropped. Hit play!"/>
    <n v="3277"/>
    <n v="423"/>
    <n v="259"/>
    <n v="46328"/>
    <n v="8.545587981350371"/>
    <n v="44293"/>
    <n v="299"/>
    <s v="#NowPlaying"/>
    <s v="ChillVibes"/>
  </r>
  <r>
    <s v="SP125"/>
    <x v="1"/>
    <d v="2024-11-06T00:00:00"/>
    <x v="0"/>
    <s v="From pop to podcasts, itâ€™s all here."/>
    <n v="2956"/>
    <n v="381"/>
    <n v="345"/>
    <n v="33347"/>
    <n v="11.041472996071612"/>
    <n v="22558"/>
    <n v="173"/>
    <s v="#NowPlaying"/>
    <s v="ChillVibes"/>
  </r>
  <r>
    <s v="SP126"/>
    <x v="1"/>
    <d v="2024-01-04T00:00:00"/>
    <x v="1"/>
    <s v="Whatâ€™s your vibe today? #SpotifyHits"/>
    <n v="3208"/>
    <n v="476"/>
    <n v="277"/>
    <n v="56072"/>
    <n v="7.064131830503638"/>
    <n v="21061"/>
    <n v="113"/>
    <s v="#MusicForEveryone"/>
    <s v="ChillVibes"/>
  </r>
  <r>
    <s v="SP126"/>
    <x v="1"/>
    <d v="2024-01-04T00:00:00"/>
    <x v="1"/>
    <s v="Whatâ€™s your vibe today? #SpotifyHits"/>
    <n v="3208"/>
    <n v="476"/>
    <n v="277"/>
    <n v="56072"/>
    <n v="7.064131830503638"/>
    <n v="21061"/>
    <n v="113"/>
    <s v="#NowPlaying"/>
    <s v="ChillVibes"/>
  </r>
  <r>
    <s v="SP127"/>
    <x v="1"/>
    <d v="2024-01-28T00:00:00"/>
    <x v="0"/>
    <s v="Music that moves youâ€”only on Spotify."/>
    <n v="1456"/>
    <n v="265"/>
    <n v="137"/>
    <n v="53485"/>
    <n v="3.4738711788351875"/>
    <n v="59729"/>
    <n v="145"/>
    <s v="#SoundtrackOfLife"/>
    <s v="IndieWave"/>
  </r>
  <r>
    <s v="SP128"/>
    <x v="0"/>
    <d v="2024-02-22T00:00:00"/>
    <x v="0"/>
    <s v="New music just dropped. Hit play!"/>
    <n v="1902"/>
    <n v="394"/>
    <n v="279"/>
    <n v="24615"/>
    <n v="10.461100954702417"/>
    <n v="51330"/>
    <n v="176"/>
    <s v="#SoundtrackOfLife"/>
    <s v="ChillVibes"/>
  </r>
  <r>
    <s v="SP128"/>
    <x v="0"/>
    <d v="2024-02-22T00:00:00"/>
    <x v="0"/>
    <s v="New music just dropped. Hit play!"/>
    <n v="1902"/>
    <n v="394"/>
    <n v="279"/>
    <n v="24615"/>
    <n v="10.461100954702417"/>
    <n v="51330"/>
    <n v="176"/>
    <s v="#NowPlaying"/>
    <s v="ChillVibes"/>
  </r>
  <r>
    <s v="SP129"/>
    <x v="1"/>
    <d v="2025-07-01T00:00:00"/>
    <x v="1"/>
    <s v="Explore the latest podcasts now."/>
    <n v="3219"/>
    <n v="424"/>
    <n v="267"/>
    <n v="48879"/>
    <n v="7.9993453221219744"/>
    <n v="37691"/>
    <n v="224"/>
    <s v="#DiscoverWeekly"/>
    <s v="ChillVibes"/>
  </r>
  <r>
    <s v="SP129"/>
    <x v="1"/>
    <d v="2025-07-01T00:00:00"/>
    <x v="1"/>
    <s v="Explore the latest podcasts now."/>
    <n v="3219"/>
    <n v="424"/>
    <n v="267"/>
    <n v="48879"/>
    <n v="7.9993453221219744"/>
    <n v="37691"/>
    <n v="224"/>
    <s v="#MusicForEveryone"/>
    <s v="ChillVibes"/>
  </r>
  <r>
    <s v="SP130"/>
    <x v="2"/>
    <d v="2024-01-10T00:00:00"/>
    <x v="0"/>
    <s v="Explore the latest podcasts now."/>
    <n v="1261"/>
    <n v="190"/>
    <n v="233"/>
    <n v="59888"/>
    <n v="2.8119155757413838"/>
    <n v="51449"/>
    <n v="205"/>
    <s v="#DiscoverWeekly"/>
    <s v="IndieWave"/>
  </r>
  <r>
    <s v="SP130"/>
    <x v="2"/>
    <d v="2024-01-10T00:00:00"/>
    <x v="0"/>
    <s v="Explore the latest podcasts now."/>
    <n v="1261"/>
    <n v="190"/>
    <n v="233"/>
    <n v="59888"/>
    <n v="2.8119155757413838"/>
    <n v="51449"/>
    <n v="205"/>
    <s v="#SpotifyWrapped"/>
    <s v="IndieWave"/>
  </r>
  <r>
    <s v="SP131"/>
    <x v="1"/>
    <d v="2025-03-20T00:00:00"/>
    <x v="0"/>
    <s v="Your weekend playlist is waiting."/>
    <n v="1564"/>
    <n v="362"/>
    <n v="371"/>
    <n v="42075"/>
    <n v="5.4592988710635764"/>
    <n v="66659"/>
    <n v="205"/>
    <s v="#SoundtrackOfLife"/>
    <s v="IndieWave"/>
  </r>
  <r>
    <s v="SP132"/>
    <x v="1"/>
    <d v="2024-09-28T00:00:00"/>
    <x v="0"/>
    <s v="Whatâ€™s your vibe today? #SpotifyHits"/>
    <n v="4006"/>
    <n v="420"/>
    <n v="194"/>
    <n v="49964"/>
    <n v="9.2466575934672957"/>
    <n v="20685"/>
    <n v="148"/>
    <s v="#NowPlaying"/>
    <s v="ChillVibes"/>
  </r>
  <r>
    <s v="SP133"/>
    <x v="2"/>
    <d v="2024-01-27T00:00:00"/>
    <x v="0"/>
    <s v="Your weekend playlist is waiting."/>
    <n v="1976"/>
    <n v="262"/>
    <n v="218"/>
    <n v="51696"/>
    <n v="4.7508511296812133"/>
    <n v="44846"/>
    <n v="139"/>
    <s v="#DiscoverWeekly"/>
    <s v="IndieWave"/>
  </r>
  <r>
    <s v="SP133"/>
    <x v="2"/>
    <d v="2024-01-27T00:00:00"/>
    <x v="0"/>
    <s v="Your weekend playlist is waiting."/>
    <n v="1976"/>
    <n v="262"/>
    <n v="218"/>
    <n v="51696"/>
    <n v="4.7508511296812133"/>
    <n v="44846"/>
    <n v="139"/>
    <s v="#SpotifyWrapped"/>
    <s v="IndieWave"/>
  </r>
  <r>
    <s v="SP134"/>
    <x v="1"/>
    <d v="2025-05-15T00:00:00"/>
    <x v="0"/>
    <s v="New music just dropped. Hit play!"/>
    <n v="1583"/>
    <n v="433"/>
    <n v="249"/>
    <n v="30256"/>
    <n v="7.4861184558434681"/>
    <n v="47066"/>
    <n v="196"/>
    <s v="#NowPlaying"/>
    <s v="ChillVibes"/>
  </r>
  <r>
    <s v="SP135"/>
    <x v="1"/>
    <d v="2024-10-04T00:00:00"/>
    <x v="1"/>
    <s v="Explore the latest podcasts now."/>
    <n v="2870"/>
    <n v="380"/>
    <n v="393"/>
    <n v="37621"/>
    <n v="9.6834214933149045"/>
    <n v="71794"/>
    <n v="127"/>
    <s v="#MusicForEveryone"/>
    <s v="ChillVibes"/>
  </r>
  <r>
    <s v="SP135"/>
    <x v="1"/>
    <d v="2024-10-04T00:00:00"/>
    <x v="1"/>
    <s v="Explore the latest podcasts now."/>
    <n v="2870"/>
    <n v="380"/>
    <n v="393"/>
    <n v="37621"/>
    <n v="9.6834214933149045"/>
    <n v="71794"/>
    <n v="127"/>
    <s v="#NowPlaying"/>
    <s v="ChillVibes"/>
  </r>
  <r>
    <s v="SP136"/>
    <x v="1"/>
    <d v="2024-11-19T00:00:00"/>
    <x v="0"/>
    <s v="Top trending tracks updated daily!"/>
    <n v="3728"/>
    <n v="271"/>
    <n v="275"/>
    <n v="22827"/>
    <n v="18.723441538528935"/>
    <n v="37034"/>
    <n v="199"/>
    <s v="#NowPlaying"/>
    <s v="ChillVibes"/>
  </r>
  <r>
    <s v="SP137"/>
    <x v="1"/>
    <d v="2024-04-05T00:00:00"/>
    <x v="1"/>
    <s v="New music just dropped. Hit play!"/>
    <n v="4965"/>
    <n v="175"/>
    <n v="307"/>
    <n v="32793"/>
    <n v="16.610252187966946"/>
    <n v="43412"/>
    <n v="296"/>
    <s v="#SoundtrackOfLife"/>
    <s v="ChillVibes"/>
  </r>
  <r>
    <s v="SP137"/>
    <x v="1"/>
    <d v="2024-04-05T00:00:00"/>
    <x v="1"/>
    <s v="New music just dropped. Hit play!"/>
    <n v="4965"/>
    <n v="175"/>
    <n v="307"/>
    <n v="32793"/>
    <n v="16.610252187966946"/>
    <n v="43412"/>
    <n v="296"/>
    <s v="#NowPlaying"/>
    <s v="ChillVibes"/>
  </r>
  <r>
    <s v="SP138"/>
    <x v="1"/>
    <d v="2024-11-28T00:00:00"/>
    <x v="1"/>
    <s v="New music just dropped. Hit play!"/>
    <n v="1131"/>
    <n v="100"/>
    <n v="116"/>
    <n v="48437"/>
    <n v="2.7809319322005903"/>
    <n v="72704"/>
    <n v="236"/>
    <s v="#DiscoverWeekly"/>
    <s v="ChillVibes"/>
  </r>
  <r>
    <s v="SP138"/>
    <x v="1"/>
    <d v="2024-11-28T00:00:00"/>
    <x v="1"/>
    <s v="New music just dropped. Hit play!"/>
    <n v="1131"/>
    <n v="100"/>
    <n v="116"/>
    <n v="48437"/>
    <n v="2.7809319322005903"/>
    <n v="72704"/>
    <n v="236"/>
    <s v="#MusicForEveryone"/>
    <s v="ChillVibes"/>
  </r>
  <r>
    <s v="SP139"/>
    <x v="1"/>
    <d v="2025-03-09T00:00:00"/>
    <x v="0"/>
    <s v="Your weekend playlist is waiting."/>
    <n v="2754"/>
    <n v="215"/>
    <n v="264"/>
    <n v="27762"/>
    <n v="11.645414595490239"/>
    <n v="70203"/>
    <n v="289"/>
    <s v="#NowPlaying"/>
    <s v="ChillVibes"/>
  </r>
  <r>
    <s v="SP140"/>
    <x v="1"/>
    <d v="2024-08-27T00:00:00"/>
    <x v="1"/>
    <s v="New music just dropped. Hit play!"/>
    <n v="1856"/>
    <n v="357"/>
    <n v="348"/>
    <n v="29428"/>
    <n v="8.7025961669158622"/>
    <n v="70206"/>
    <n v="236"/>
    <s v="#MusicForEveryone"/>
    <s v="ChillVibes"/>
  </r>
  <r>
    <s v="SP140"/>
    <x v="1"/>
    <d v="2024-08-27T00:00:00"/>
    <x v="1"/>
    <s v="New music just dropped. Hit play!"/>
    <n v="1856"/>
    <n v="357"/>
    <n v="348"/>
    <n v="29428"/>
    <n v="8.7025961669158622"/>
    <n v="70206"/>
    <n v="236"/>
    <s v="#NowPlaying"/>
    <s v="ChillVibes"/>
  </r>
  <r>
    <s v="SP141"/>
    <x v="2"/>
    <d v="2024-10-01T00:00:00"/>
    <x v="2"/>
    <s v="Explore the latest podcasts now."/>
    <n v="3543"/>
    <n v="334"/>
    <n v="218"/>
    <n v="58007"/>
    <n v="7.059492819832089"/>
    <n v="24792"/>
    <n v="273"/>
    <s v="#DiscoverWeekly"/>
    <s v="SummerBeats"/>
  </r>
  <r>
    <s v="SP141"/>
    <x v="2"/>
    <d v="2024-10-01T00:00:00"/>
    <x v="2"/>
    <s v="Explore the latest podcasts now."/>
    <n v="3543"/>
    <n v="334"/>
    <n v="218"/>
    <n v="58007"/>
    <n v="7.059492819832089"/>
    <n v="24792"/>
    <n v="273"/>
    <s v="#SoundtrackOfLife"/>
    <s v="SummerBeats"/>
  </r>
  <r>
    <s v="SP142"/>
    <x v="0"/>
    <d v="2024-12-21T00:00:00"/>
    <x v="1"/>
    <s v="New music just dropped. Hit play!"/>
    <n v="4563"/>
    <n v="398"/>
    <n v="163"/>
    <n v="43679"/>
    <n v="11.731037798484397"/>
    <n v="48760"/>
    <n v="92"/>
    <s v="#NowPlaying"/>
    <s v="Wrapped2024"/>
  </r>
  <r>
    <s v="SP143"/>
    <x v="0"/>
    <d v="2024-06-17T00:00:00"/>
    <x v="0"/>
    <s v="Discover fresh beats on Spotify!"/>
    <n v="4283"/>
    <n v="471"/>
    <n v="156"/>
    <n v="53004"/>
    <n v="9.2634518149573619"/>
    <n v="25678"/>
    <n v="105"/>
    <s v="#DiscoverWeekly"/>
    <s v="IndieWave"/>
  </r>
  <r>
    <s v="SP144"/>
    <x v="0"/>
    <d v="2025-02-14T00:00:00"/>
    <x v="0"/>
    <s v="Discover fresh beats on Spotify!"/>
    <n v="2329"/>
    <n v="373"/>
    <n v="291"/>
    <n v="49577"/>
    <n v="6.0370736430199488"/>
    <n v="28002"/>
    <n v="82"/>
    <s v="#SoundtrackOfLife"/>
    <s v="ChillVibes"/>
  </r>
  <r>
    <s v="SP144"/>
    <x v="0"/>
    <d v="2025-02-14T00:00:00"/>
    <x v="0"/>
    <s v="Discover fresh beats on Spotify!"/>
    <n v="2329"/>
    <n v="373"/>
    <n v="291"/>
    <n v="49577"/>
    <n v="6.0370736430199488"/>
    <n v="28002"/>
    <n v="82"/>
    <s v="#NowPlaying"/>
    <s v="ChillVibes"/>
  </r>
  <r>
    <s v="SP145"/>
    <x v="1"/>
    <d v="2025-05-28T00:00:00"/>
    <x v="1"/>
    <s v="Top trending tracks updated daily!"/>
    <n v="4287"/>
    <n v="273"/>
    <n v="122"/>
    <n v="40792"/>
    <n v="11.477740733477154"/>
    <n v="23878"/>
    <n v="277"/>
    <s v="#MusicForEveryone"/>
    <s v="ChillVibes"/>
  </r>
  <r>
    <s v="SP145"/>
    <x v="1"/>
    <d v="2025-05-28T00:00:00"/>
    <x v="1"/>
    <s v="Top trending tracks updated daily!"/>
    <n v="4287"/>
    <n v="273"/>
    <n v="122"/>
    <n v="40792"/>
    <n v="11.477740733477154"/>
    <n v="23878"/>
    <n v="277"/>
    <s v="#NowPlaying"/>
    <s v="ChillVibes"/>
  </r>
  <r>
    <s v="SP146"/>
    <x v="0"/>
    <d v="2025-05-22T00:00:00"/>
    <x v="0"/>
    <s v="Discover fresh beats on Spotify!"/>
    <n v="2633"/>
    <n v="318"/>
    <n v="380"/>
    <n v="40869"/>
    <n v="8.1504318676747669"/>
    <n v="64474"/>
    <n v="245"/>
    <s v="#DiscoverWeekly"/>
    <s v="IndieWave"/>
  </r>
  <r>
    <s v="SP147"/>
    <x v="1"/>
    <d v="2024-01-21T00:00:00"/>
    <x v="1"/>
    <s v="Discover fresh beats on Spotify!"/>
    <n v="2383"/>
    <n v="136"/>
    <n v="302"/>
    <n v="39187"/>
    <n v="7.1988159338556148"/>
    <n v="22133"/>
    <n v="208"/>
    <s v="#MusicForEveryone"/>
    <s v="ChillVibes"/>
  </r>
  <r>
    <s v="SP147"/>
    <x v="1"/>
    <d v="2024-01-21T00:00:00"/>
    <x v="1"/>
    <s v="Discover fresh beats on Spotify!"/>
    <n v="2383"/>
    <n v="136"/>
    <n v="302"/>
    <n v="39187"/>
    <n v="7.1988159338556148"/>
    <n v="22133"/>
    <n v="208"/>
    <s v="#NowPlaying"/>
    <s v="ChillVibes"/>
  </r>
  <r>
    <s v="SP148"/>
    <x v="1"/>
    <d v="2025-02-08T00:00:00"/>
    <x v="1"/>
    <s v="Your weekend playlist is waiting."/>
    <n v="4752"/>
    <n v="334"/>
    <n v="56"/>
    <n v="48017"/>
    <n v="10.708707332819627"/>
    <n v="55534"/>
    <n v="270"/>
    <s v="#DiscoverWeekly"/>
    <s v="ChillVibes"/>
  </r>
  <r>
    <s v="SP148"/>
    <x v="1"/>
    <d v="2025-02-08T00:00:00"/>
    <x v="1"/>
    <s v="Your weekend playlist is waiting."/>
    <n v="4752"/>
    <n v="334"/>
    <n v="56"/>
    <n v="48017"/>
    <n v="10.708707332819627"/>
    <n v="55534"/>
    <n v="270"/>
    <s v="#MusicForEveryone"/>
    <s v="ChillVibes"/>
  </r>
  <r>
    <s v="SP149"/>
    <x v="1"/>
    <d v="2025-04-13T00:00:00"/>
    <x v="0"/>
    <s v="From pop to podcasts, itâ€™s all here."/>
    <n v="3890"/>
    <n v="408"/>
    <n v="338"/>
    <n v="56994"/>
    <n v="8.1341895638137345"/>
    <n v="32621"/>
    <n v="286"/>
    <s v="#SoundtrackOfLife"/>
    <s v="IndieWave"/>
  </r>
  <r>
    <s v="SP150"/>
    <x v="1"/>
    <d v="2024-05-30T00:00:00"/>
    <x v="1"/>
    <s v="Your weekend playlist is waiting."/>
    <n v="2311"/>
    <n v="207"/>
    <n v="363"/>
    <n v="30349"/>
    <n v="9.4928992718046725"/>
    <n v="32925"/>
    <n v="88"/>
    <s v="#MusicForEveryone"/>
    <s v="ChillVibes"/>
  </r>
  <r>
    <s v="SP150"/>
    <x v="1"/>
    <d v="2024-05-30T00:00:00"/>
    <x v="1"/>
    <s v="Your weekend playlist is waiting."/>
    <n v="2311"/>
    <n v="207"/>
    <n v="363"/>
    <n v="30349"/>
    <n v="9.4928992718046725"/>
    <n v="32925"/>
    <n v="88"/>
    <s v="#NowPlaying"/>
    <s v="ChillVibes"/>
  </r>
  <r>
    <s v="SP151"/>
    <x v="0"/>
    <d v="2024-08-12T00:00:00"/>
    <x v="1"/>
    <s v="Discover fresh beats on Spotify!"/>
    <n v="2962"/>
    <n v="400"/>
    <n v="280"/>
    <n v="52508"/>
    <n v="6.9360859297630837"/>
    <n v="58329"/>
    <n v="219"/>
    <s v="#NowPlaying"/>
    <s v="Wrapped2024"/>
  </r>
  <r>
    <s v="SP152"/>
    <x v="0"/>
    <d v="2024-09-27T00:00:00"/>
    <x v="0"/>
    <s v="Discover fresh beats on Spotify!"/>
    <n v="3118"/>
    <n v="116"/>
    <n v="195"/>
    <n v="37100"/>
    <n v="9.2425876010781671"/>
    <n v="62629"/>
    <n v="272"/>
    <s v="#DiscoverWeekly"/>
    <s v="IndieWave"/>
  </r>
  <r>
    <s v="SP153"/>
    <x v="1"/>
    <d v="2025-06-11T00:00:00"/>
    <x v="1"/>
    <s v="Explore the latest podcasts now."/>
    <n v="3805"/>
    <n v="453"/>
    <n v="63"/>
    <n v="52395"/>
    <n v="8.2469701307376653"/>
    <n v="72934"/>
    <n v="87"/>
    <s v="#DiscoverWeekly"/>
    <s v="ChillVibes"/>
  </r>
  <r>
    <s v="SP153"/>
    <x v="1"/>
    <d v="2025-06-11T00:00:00"/>
    <x v="1"/>
    <s v="Explore the latest podcasts now."/>
    <n v="3805"/>
    <n v="453"/>
    <n v="63"/>
    <n v="52395"/>
    <n v="8.2469701307376653"/>
    <n v="72934"/>
    <n v="87"/>
    <s v="#MusicForEveryone"/>
    <s v="ChillVibes"/>
  </r>
  <r>
    <s v="SP154"/>
    <x v="0"/>
    <d v="2024-11-19T00:00:00"/>
    <x v="0"/>
    <s v="Whatâ€™s your vibe today? #SpotifyHits"/>
    <n v="2525"/>
    <n v="272"/>
    <n v="294"/>
    <n v="51875"/>
    <n v="5.9585542168674701"/>
    <n v="24732"/>
    <n v="92"/>
    <s v="#DiscoverWeekly"/>
    <s v="IndieWave"/>
  </r>
  <r>
    <s v="SP155"/>
    <x v="0"/>
    <d v="2024-04-25T00:00:00"/>
    <x v="0"/>
    <s v="Music that moves youâ€”only on Spotify."/>
    <n v="3563"/>
    <n v="483"/>
    <n v="227"/>
    <n v="41085"/>
    <n v="10.400389436534015"/>
    <n v="26393"/>
    <n v="236"/>
    <s v="#SoundtrackOfLife"/>
    <s v="ChillVibes"/>
  </r>
  <r>
    <s v="SP155"/>
    <x v="0"/>
    <d v="2024-04-25T00:00:00"/>
    <x v="0"/>
    <s v="Music that moves youâ€”only on Spotify."/>
    <n v="3563"/>
    <n v="483"/>
    <n v="227"/>
    <n v="41085"/>
    <n v="10.400389436534015"/>
    <n v="26393"/>
    <n v="236"/>
    <s v="#NowPlaying"/>
    <s v="ChillVibes"/>
  </r>
  <r>
    <s v="SP156"/>
    <x v="2"/>
    <d v="2024-09-03T00:00:00"/>
    <x v="2"/>
    <s v="Whatâ€™s your vibe today? #SpotifyHits"/>
    <n v="1437"/>
    <n v="494"/>
    <n v="129"/>
    <n v="53048"/>
    <n v="3.8832755240536874"/>
    <n v="44090"/>
    <n v="230"/>
    <s v="#DiscoverWeekly"/>
    <s v="SummerBeats"/>
  </r>
  <r>
    <s v="SP156"/>
    <x v="2"/>
    <d v="2024-09-03T00:00:00"/>
    <x v="2"/>
    <s v="Whatâ€™s your vibe today? #SpotifyHits"/>
    <n v="1437"/>
    <n v="494"/>
    <n v="129"/>
    <n v="53048"/>
    <n v="3.8832755240536874"/>
    <n v="44090"/>
    <n v="230"/>
    <s v="#SoundtrackOfLife"/>
    <s v="SummerBeats"/>
  </r>
  <r>
    <s v="SP157"/>
    <x v="2"/>
    <d v="2025-03-02T00:00:00"/>
    <x v="0"/>
    <s v="From pop to podcasts, itâ€™s all here."/>
    <n v="4425"/>
    <n v="185"/>
    <n v="162"/>
    <n v="24610"/>
    <n v="19.390491670052825"/>
    <n v="21342"/>
    <n v="158"/>
    <s v="#DiscoverWeekly"/>
    <s v="IndieWave"/>
  </r>
  <r>
    <s v="SP157"/>
    <x v="2"/>
    <d v="2025-03-02T00:00:00"/>
    <x v="0"/>
    <s v="From pop to podcasts, itâ€™s all here."/>
    <n v="4425"/>
    <n v="185"/>
    <n v="162"/>
    <n v="24610"/>
    <n v="19.390491670052825"/>
    <n v="21342"/>
    <n v="158"/>
    <s v="#SpotifyWrapped"/>
    <s v="IndieWave"/>
  </r>
  <r>
    <s v="SP158"/>
    <x v="1"/>
    <d v="2025-03-21T00:00:00"/>
    <x v="1"/>
    <s v="New music just dropped. Hit play!"/>
    <n v="4609"/>
    <n v="427"/>
    <n v="395"/>
    <n v="33698"/>
    <n v="16.116683482699269"/>
    <n v="29259"/>
    <n v="216"/>
    <s v="#DiscoverWeekly"/>
    <s v="ChillVibes"/>
  </r>
  <r>
    <s v="SP158"/>
    <x v="1"/>
    <d v="2025-03-21T00:00:00"/>
    <x v="1"/>
    <s v="New music just dropped. Hit play!"/>
    <n v="4609"/>
    <n v="427"/>
    <n v="395"/>
    <n v="33698"/>
    <n v="16.116683482699269"/>
    <n v="29259"/>
    <n v="216"/>
    <s v="#MusicForEveryone"/>
    <s v="ChillVibes"/>
  </r>
  <r>
    <s v="SP159"/>
    <x v="0"/>
    <d v="2024-04-12T00:00:00"/>
    <x v="1"/>
    <s v="Get into the groove with our new drop!"/>
    <n v="1558"/>
    <n v="352"/>
    <n v="202"/>
    <n v="25405"/>
    <n v="8.3133241487896079"/>
    <n v="69941"/>
    <n v="219"/>
    <s v="#NowPlaying"/>
    <s v="Wrapped2024"/>
  </r>
  <r>
    <s v="SP160"/>
    <x v="2"/>
    <d v="2024-02-08T00:00:00"/>
    <x v="2"/>
    <s v="Top trending tracks updated daily!"/>
    <n v="1889"/>
    <n v="298"/>
    <n v="122"/>
    <n v="46225"/>
    <n v="4.9951325040562464"/>
    <n v="74305"/>
    <n v="293"/>
    <s v="#DiscoverWeekly"/>
    <s v="SummerBeats"/>
  </r>
  <r>
    <s v="SP160"/>
    <x v="2"/>
    <d v="2024-02-08T00:00:00"/>
    <x v="2"/>
    <s v="Top trending tracks updated daily!"/>
    <n v="1889"/>
    <n v="298"/>
    <n v="122"/>
    <n v="46225"/>
    <n v="4.9951325040562464"/>
    <n v="74305"/>
    <n v="293"/>
    <s v="#SoundtrackOfLife"/>
    <s v="SummerBeats"/>
  </r>
  <r>
    <s v="SP161"/>
    <x v="0"/>
    <d v="2025-05-26T00:00:00"/>
    <x v="0"/>
    <s v="Discover fresh beats on Spotify!"/>
    <n v="3086"/>
    <n v="148"/>
    <n v="310"/>
    <n v="22824"/>
    <n v="15.527514896600071"/>
    <n v="58103"/>
    <n v="275"/>
    <s v="#DiscoverWeekly"/>
    <s v="IndieWave"/>
  </r>
  <r>
    <s v="SP162"/>
    <x v="0"/>
    <d v="2024-11-14T00:00:00"/>
    <x v="0"/>
    <s v="Music that moves youâ€”only on Spotify."/>
    <n v="2422"/>
    <n v="318"/>
    <n v="118"/>
    <n v="25386"/>
    <n v="11.258173796580792"/>
    <n v="20873"/>
    <n v="100"/>
    <s v="#SoundtrackOfLife"/>
    <s v="ChillVibes"/>
  </r>
  <r>
    <s v="SP162"/>
    <x v="0"/>
    <d v="2024-11-14T00:00:00"/>
    <x v="0"/>
    <s v="Music that moves youâ€”only on Spotify."/>
    <n v="2422"/>
    <n v="318"/>
    <n v="118"/>
    <n v="25386"/>
    <n v="11.258173796580792"/>
    <n v="20873"/>
    <n v="100"/>
    <s v="#NowPlaying"/>
    <s v="ChillVibes"/>
  </r>
  <r>
    <s v="SP163"/>
    <x v="2"/>
    <d v="2024-08-09T00:00:00"/>
    <x v="2"/>
    <s v="From pop to podcasts, itâ€™s all here."/>
    <n v="3414"/>
    <n v="154"/>
    <n v="204"/>
    <n v="34146"/>
    <n v="11.046681895390382"/>
    <n v="44633"/>
    <n v="256"/>
    <s v="#DiscoverWeekly"/>
    <s v="SummerBeats"/>
  </r>
  <r>
    <s v="SP163"/>
    <x v="2"/>
    <d v="2024-08-09T00:00:00"/>
    <x v="2"/>
    <s v="From pop to podcasts, itâ€™s all here."/>
    <n v="3414"/>
    <n v="154"/>
    <n v="204"/>
    <n v="34146"/>
    <n v="11.046681895390382"/>
    <n v="44633"/>
    <n v="256"/>
    <s v="#SoundtrackOfLife"/>
    <s v="SummerBeats"/>
  </r>
  <r>
    <s v="SP164"/>
    <x v="0"/>
    <d v="2025-06-27T00:00:00"/>
    <x v="1"/>
    <s v="Whatâ€™s your vibe today? #SpotifyHits"/>
    <n v="1342"/>
    <n v="332"/>
    <n v="163"/>
    <n v="51712"/>
    <n v="3.5523669554455446"/>
    <n v="57922"/>
    <n v="168"/>
    <s v="#NowPlaying"/>
    <s v="Wrapped2024"/>
  </r>
  <r>
    <s v="SP165"/>
    <x v="0"/>
    <d v="2024-05-08T00:00:00"/>
    <x v="1"/>
    <s v="Music that moves youâ€”only on Spotify."/>
    <n v="2414"/>
    <n v="220"/>
    <n v="280"/>
    <n v="27355"/>
    <n v="10.652531529884847"/>
    <n v="50562"/>
    <n v="258"/>
    <s v="#NowPlaying"/>
    <s v="Wrapped2024"/>
  </r>
  <r>
    <s v="SP166"/>
    <x v="0"/>
    <d v="2024-04-05T00:00:00"/>
    <x v="0"/>
    <s v="New music just dropped. Hit play!"/>
    <n v="4383"/>
    <n v="352"/>
    <n v="176"/>
    <n v="53239"/>
    <n v="9.2244407295403743"/>
    <n v="34168"/>
    <n v="288"/>
    <s v="#DiscoverWeekly"/>
    <s v="IndieWave"/>
  </r>
  <r>
    <s v="SP167"/>
    <x v="2"/>
    <d v="2025-01-27T00:00:00"/>
    <x v="0"/>
    <s v="Wrapped is here! Relive your top tracks ðŸŽ§"/>
    <n v="4294"/>
    <n v="423"/>
    <n v="93"/>
    <n v="29828"/>
    <n v="16.125787850341961"/>
    <n v="73144"/>
    <n v="298"/>
    <s v="#DiscoverWeekly"/>
    <s v="IndieWave"/>
  </r>
  <r>
    <s v="SP167"/>
    <x v="2"/>
    <d v="2025-01-27T00:00:00"/>
    <x v="0"/>
    <s v="Wrapped is here! Relive your top tracks ðŸŽ§"/>
    <n v="4294"/>
    <n v="423"/>
    <n v="93"/>
    <n v="29828"/>
    <n v="16.125787850341961"/>
    <n v="73144"/>
    <n v="298"/>
    <s v="#SpotifyWrapped"/>
    <s v="IndieWave"/>
  </r>
  <r>
    <s v="SP168"/>
    <x v="0"/>
    <d v="2024-04-03T00:00:00"/>
    <x v="0"/>
    <s v="Top trending tracks updated daily!"/>
    <n v="2762"/>
    <n v="339"/>
    <n v="323"/>
    <n v="33757"/>
    <n v="10.143081434961637"/>
    <n v="68511"/>
    <n v="121"/>
    <s v="#SoundtrackOfLife"/>
    <s v="ChillVibes"/>
  </r>
  <r>
    <s v="SP168"/>
    <x v="0"/>
    <d v="2024-04-03T00:00:00"/>
    <x v="0"/>
    <s v="Top trending tracks updated daily!"/>
    <n v="2762"/>
    <n v="339"/>
    <n v="323"/>
    <n v="33757"/>
    <n v="10.143081434961637"/>
    <n v="68511"/>
    <n v="121"/>
    <s v="#NowPlaying"/>
    <s v="ChillVibes"/>
  </r>
  <r>
    <s v="SP169"/>
    <x v="2"/>
    <d v="2025-01-03T00:00:00"/>
    <x v="0"/>
    <s v="New music just dropped. Hit play!"/>
    <n v="3782"/>
    <n v="484"/>
    <n v="144"/>
    <n v="52172"/>
    <n v="8.4528099363643339"/>
    <n v="59386"/>
    <n v="175"/>
    <s v="#DiscoverWeekly"/>
    <s v="IndieWave"/>
  </r>
  <r>
    <s v="SP169"/>
    <x v="2"/>
    <d v="2025-01-03T00:00:00"/>
    <x v="0"/>
    <s v="New music just dropped. Hit play!"/>
    <n v="3782"/>
    <n v="484"/>
    <n v="144"/>
    <n v="52172"/>
    <n v="8.4528099363643339"/>
    <n v="59386"/>
    <n v="175"/>
    <s v="#SpotifyWrapped"/>
    <s v="IndieWave"/>
  </r>
  <r>
    <s v="SP170"/>
    <x v="1"/>
    <d v="2024-11-23T00:00:00"/>
    <x v="0"/>
    <s v="New music just dropped. Hit play!"/>
    <n v="4318"/>
    <n v="371"/>
    <n v="329"/>
    <n v="32347"/>
    <n v="15.513030574705535"/>
    <n v="68956"/>
    <n v="259"/>
    <s v="#SoundtrackOfLife"/>
    <s v="IndieWave"/>
  </r>
  <r>
    <s v="SP171"/>
    <x v="0"/>
    <d v="2024-09-01T00:00:00"/>
    <x v="1"/>
    <s v="Wrapped is here! Relive your top tracks ðŸŽ§"/>
    <n v="2335"/>
    <n v="150"/>
    <n v="75"/>
    <n v="26114"/>
    <n v="9.8031707130274945"/>
    <n v="57549"/>
    <n v="135"/>
    <s v="#NowPlaying"/>
    <s v="Wrapped2024"/>
  </r>
  <r>
    <s v="SP172"/>
    <x v="2"/>
    <d v="2024-04-18T00:00:00"/>
    <x v="0"/>
    <s v="Explore the latest podcasts now."/>
    <n v="4023"/>
    <n v="293"/>
    <n v="91"/>
    <n v="26795"/>
    <n v="16.447098339242398"/>
    <n v="28924"/>
    <n v="278"/>
    <s v="#DiscoverWeekly"/>
    <s v="IndieWave"/>
  </r>
  <r>
    <s v="SP172"/>
    <x v="2"/>
    <d v="2024-04-18T00:00:00"/>
    <x v="0"/>
    <s v="Explore the latest podcasts now."/>
    <n v="4023"/>
    <n v="293"/>
    <n v="91"/>
    <n v="26795"/>
    <n v="16.447098339242398"/>
    <n v="28924"/>
    <n v="278"/>
    <s v="#SpotifyWrapped"/>
    <s v="IndieWave"/>
  </r>
  <r>
    <s v="SP173"/>
    <x v="0"/>
    <d v="2024-06-04T00:00:00"/>
    <x v="0"/>
    <s v="Get into the groove with our new drop!"/>
    <n v="3948"/>
    <n v="151"/>
    <n v="249"/>
    <n v="43147"/>
    <n v="10.077178019329269"/>
    <n v="63136"/>
    <n v="230"/>
    <s v="#DiscoverWeekly"/>
    <s v="IndieWave"/>
  </r>
  <r>
    <s v="SP174"/>
    <x v="2"/>
    <d v="2025-04-02T00:00:00"/>
    <x v="0"/>
    <s v="Wrapped is here! Relive your top tracks ðŸŽ§"/>
    <n v="4598"/>
    <n v="455"/>
    <n v="378"/>
    <n v="52952"/>
    <n v="10.256458679558845"/>
    <n v="58504"/>
    <n v="269"/>
    <s v="#DiscoverWeekly"/>
    <s v="IndieWave"/>
  </r>
  <r>
    <s v="SP174"/>
    <x v="2"/>
    <d v="2025-04-02T00:00:00"/>
    <x v="0"/>
    <s v="Wrapped is here! Relive your top tracks ðŸŽ§"/>
    <n v="4598"/>
    <n v="455"/>
    <n v="378"/>
    <n v="52952"/>
    <n v="10.256458679558845"/>
    <n v="58504"/>
    <n v="269"/>
    <s v="#SpotifyWrapped"/>
    <s v="IndieWave"/>
  </r>
  <r>
    <s v="SP175"/>
    <x v="1"/>
    <d v="2025-04-01T00:00:00"/>
    <x v="1"/>
    <s v="Music that moves youâ€”only on Spotify."/>
    <n v="2665"/>
    <n v="143"/>
    <n v="315"/>
    <n v="54808"/>
    <n v="5.6980732739746021"/>
    <n v="29818"/>
    <n v="98"/>
    <s v="#DiscoverWeekly"/>
    <s v="ChillVibes"/>
  </r>
  <r>
    <s v="SP175"/>
    <x v="1"/>
    <d v="2025-04-01T00:00:00"/>
    <x v="1"/>
    <s v="Music that moves youâ€”only on Spotify."/>
    <n v="2665"/>
    <n v="143"/>
    <n v="315"/>
    <n v="54808"/>
    <n v="5.6980732739746021"/>
    <n v="29818"/>
    <n v="98"/>
    <s v="#MusicForEveryone"/>
    <s v="ChillVibes"/>
  </r>
  <r>
    <s v="SP176"/>
    <x v="0"/>
    <d v="2024-07-02T00:00:00"/>
    <x v="0"/>
    <s v="Top trending tracks updated daily!"/>
    <n v="3469"/>
    <n v="371"/>
    <n v="76"/>
    <n v="46493"/>
    <n v="8.4227733207149456"/>
    <n v="26906"/>
    <n v="150"/>
    <s v="#SoundtrackOfLife"/>
    <s v="ChillVibes"/>
  </r>
  <r>
    <s v="SP176"/>
    <x v="0"/>
    <d v="2024-07-02T00:00:00"/>
    <x v="0"/>
    <s v="Top trending tracks updated daily!"/>
    <n v="3469"/>
    <n v="371"/>
    <n v="76"/>
    <n v="46493"/>
    <n v="8.4227733207149456"/>
    <n v="26906"/>
    <n v="150"/>
    <s v="#NowPlaying"/>
    <s v="ChillVibes"/>
  </r>
  <r>
    <s v="SP177"/>
    <x v="1"/>
    <d v="2024-11-10T00:00:00"/>
    <x v="0"/>
    <s v="Explore the latest podcasts now."/>
    <n v="4823"/>
    <n v="489"/>
    <n v="302"/>
    <n v="32470"/>
    <n v="17.289805974745921"/>
    <n v="31861"/>
    <n v="178"/>
    <s v="#SoundtrackOfLife"/>
    <s v="IndieWave"/>
  </r>
  <r>
    <s v="SP178"/>
    <x v="0"/>
    <d v="2024-12-14T00:00:00"/>
    <x v="1"/>
    <s v="From pop to podcasts, itâ€™s all here."/>
    <n v="3812"/>
    <n v="321"/>
    <n v="289"/>
    <n v="59838"/>
    <n v="7.3899528727564414"/>
    <n v="36337"/>
    <n v="161"/>
    <s v="#NowPlaying"/>
    <s v="Wrapped2024"/>
  </r>
  <r>
    <s v="SP179"/>
    <x v="1"/>
    <d v="2024-11-19T00:00:00"/>
    <x v="0"/>
    <s v="Explore the latest podcasts now."/>
    <n v="2387"/>
    <n v="353"/>
    <n v="78"/>
    <n v="39745"/>
    <n v="7.0902000251603976"/>
    <n v="69226"/>
    <n v="208"/>
    <s v="#SoundtrackOfLife"/>
    <s v="IndieWave"/>
  </r>
  <r>
    <s v="SP180"/>
    <x v="1"/>
    <d v="2025-04-30T00:00:00"/>
    <x v="1"/>
    <s v="Wrapped is here! Relive your top tracks ðŸŽ§"/>
    <n v="3929"/>
    <n v="275"/>
    <n v="330"/>
    <n v="58329"/>
    <n v="7.773148862486928"/>
    <n v="33196"/>
    <n v="85"/>
    <s v="#MusicForEveryone"/>
    <s v="ChillVibes"/>
  </r>
  <r>
    <s v="SP180"/>
    <x v="1"/>
    <d v="2025-04-30T00:00:00"/>
    <x v="1"/>
    <s v="Wrapped is here! Relive your top tracks ðŸŽ§"/>
    <n v="3929"/>
    <n v="275"/>
    <n v="330"/>
    <n v="58329"/>
    <n v="7.773148862486928"/>
    <n v="33196"/>
    <n v="85"/>
    <s v="#NowPlaying"/>
    <s v="ChillVibes"/>
  </r>
  <r>
    <s v="SP181"/>
    <x v="1"/>
    <d v="2024-03-19T00:00:00"/>
    <x v="0"/>
    <s v="From pop to podcasts, itâ€™s all here."/>
    <n v="2191"/>
    <n v="288"/>
    <n v="83"/>
    <n v="59606"/>
    <n v="4.2982250109049422"/>
    <n v="24765"/>
    <n v="281"/>
    <s v="#SoundtrackOfLife"/>
    <s v="IndieWave"/>
  </r>
  <r>
    <s v="SP182"/>
    <x v="0"/>
    <d v="2024-03-19T00:00:00"/>
    <x v="0"/>
    <s v="From pop to podcasts, itâ€™s all here."/>
    <n v="2878"/>
    <n v="278"/>
    <n v="255"/>
    <n v="47235"/>
    <n v="7.2213401079707848"/>
    <n v="57922"/>
    <n v="112"/>
    <s v="#SoundtrackOfLife"/>
    <s v="ChillVibes"/>
  </r>
  <r>
    <s v="SP182"/>
    <x v="0"/>
    <d v="2024-03-19T00:00:00"/>
    <x v="0"/>
    <s v="From pop to podcasts, itâ€™s all here."/>
    <n v="2878"/>
    <n v="278"/>
    <n v="255"/>
    <n v="47235"/>
    <n v="7.2213401079707848"/>
    <n v="57922"/>
    <n v="112"/>
    <s v="#NowPlaying"/>
    <s v="ChillVibes"/>
  </r>
  <r>
    <s v="SP183"/>
    <x v="1"/>
    <d v="2024-07-23T00:00:00"/>
    <x v="0"/>
    <s v="Top trending tracks updated daily!"/>
    <n v="3204"/>
    <n v="398"/>
    <n v="85"/>
    <n v="22020"/>
    <n v="16.743869209809265"/>
    <n v="58353"/>
    <n v="286"/>
    <s v="#SoundtrackOfLife"/>
    <s v="IndieWave"/>
  </r>
  <r>
    <s v="SP184"/>
    <x v="1"/>
    <d v="2024-07-13T00:00:00"/>
    <x v="1"/>
    <s v="Get into the groove with our new drop!"/>
    <n v="2408"/>
    <n v="323"/>
    <n v="251"/>
    <n v="47599"/>
    <n v="6.2648374965860638"/>
    <n v="35543"/>
    <n v="287"/>
    <s v="#MusicForEveryone"/>
    <s v="ChillVibes"/>
  </r>
  <r>
    <s v="SP184"/>
    <x v="1"/>
    <d v="2024-07-13T00:00:00"/>
    <x v="1"/>
    <s v="Get into the groove with our new drop!"/>
    <n v="2408"/>
    <n v="323"/>
    <n v="251"/>
    <n v="47599"/>
    <n v="6.2648374965860638"/>
    <n v="35543"/>
    <n v="287"/>
    <s v="#NowPlaying"/>
    <s v="ChillVibes"/>
  </r>
  <r>
    <s v="SP185"/>
    <x v="2"/>
    <d v="2025-04-22T00:00:00"/>
    <x v="2"/>
    <s v="New music just dropped. Hit play!"/>
    <n v="2733"/>
    <n v="297"/>
    <n v="235"/>
    <n v="37980"/>
    <n v="8.5966298051606103"/>
    <n v="33058"/>
    <n v="219"/>
    <s v="#DiscoverWeekly"/>
    <s v="SummerBeats"/>
  </r>
  <r>
    <s v="SP185"/>
    <x v="2"/>
    <d v="2025-04-22T00:00:00"/>
    <x v="2"/>
    <s v="New music just dropped. Hit play!"/>
    <n v="2733"/>
    <n v="297"/>
    <n v="235"/>
    <n v="37980"/>
    <n v="8.5966298051606103"/>
    <n v="33058"/>
    <n v="219"/>
    <s v="#SoundtrackOfLife"/>
    <s v="SummerBeats"/>
  </r>
  <r>
    <s v="SP186"/>
    <x v="1"/>
    <d v="2024-06-16T00:00:00"/>
    <x v="1"/>
    <s v="Explore the latest podcasts now."/>
    <n v="4618"/>
    <n v="312"/>
    <n v="254"/>
    <n v="22571"/>
    <n v="22.967524699836073"/>
    <n v="29453"/>
    <n v="197"/>
    <s v="#MusicForEveryone"/>
    <s v="ChillVibes"/>
  </r>
  <r>
    <s v="SP186"/>
    <x v="1"/>
    <d v="2024-06-16T00:00:00"/>
    <x v="1"/>
    <s v="Explore the latest podcasts now."/>
    <n v="4618"/>
    <n v="312"/>
    <n v="254"/>
    <n v="22571"/>
    <n v="22.967524699836073"/>
    <n v="29453"/>
    <n v="197"/>
    <s v="#NowPlaying"/>
    <s v="ChillVibes"/>
  </r>
  <r>
    <s v="SP187"/>
    <x v="2"/>
    <d v="2025-05-18T00:00:00"/>
    <x v="2"/>
    <s v="Wrapped is here! Relive your top tracks ðŸŽ§"/>
    <n v="4210"/>
    <n v="319"/>
    <n v="350"/>
    <n v="37762"/>
    <n v="12.920396165457337"/>
    <n v="55162"/>
    <n v="204"/>
    <s v="#DiscoverWeekly"/>
    <s v="SummerBeats"/>
  </r>
  <r>
    <s v="SP187"/>
    <x v="2"/>
    <d v="2025-05-18T00:00:00"/>
    <x v="2"/>
    <s v="Wrapped is here! Relive your top tracks ðŸŽ§"/>
    <n v="4210"/>
    <n v="319"/>
    <n v="350"/>
    <n v="37762"/>
    <n v="12.920396165457337"/>
    <n v="55162"/>
    <n v="204"/>
    <s v="#SoundtrackOfLife"/>
    <s v="SummerBeats"/>
  </r>
  <r>
    <s v="SP188"/>
    <x v="0"/>
    <d v="2025-06-06T00:00:00"/>
    <x v="0"/>
    <s v="Wrapped is here! Relive your top tracks ðŸŽ§"/>
    <n v="3987"/>
    <n v="171"/>
    <n v="274"/>
    <n v="45122"/>
    <n v="9.8222596516111871"/>
    <n v="65431"/>
    <n v="168"/>
    <s v="#DiscoverWeekly"/>
    <s v="IndieWave"/>
  </r>
  <r>
    <s v="SP189"/>
    <x v="2"/>
    <d v="2025-02-20T00:00:00"/>
    <x v="2"/>
    <s v="Get into the groove with our new drop!"/>
    <n v="4957"/>
    <n v="262"/>
    <n v="365"/>
    <n v="49199"/>
    <n v="11.349824183418363"/>
    <n v="40314"/>
    <n v="216"/>
    <s v="#DiscoverWeekly"/>
    <s v="SummerBeats"/>
  </r>
  <r>
    <s v="SP189"/>
    <x v="2"/>
    <d v="2025-02-20T00:00:00"/>
    <x v="2"/>
    <s v="Get into the groove with our new drop!"/>
    <n v="4957"/>
    <n v="262"/>
    <n v="365"/>
    <n v="49199"/>
    <n v="11.349824183418363"/>
    <n v="40314"/>
    <n v="216"/>
    <s v="#SoundtrackOfLife"/>
    <s v="SummerBeats"/>
  </r>
  <r>
    <s v="SP190"/>
    <x v="0"/>
    <d v="2025-01-16T00:00:00"/>
    <x v="0"/>
    <s v="Music that moves youâ€”only on Spotify."/>
    <n v="2605"/>
    <n v="282"/>
    <n v="148"/>
    <n v="32201"/>
    <n v="9.4251731312692151"/>
    <n v="49583"/>
    <n v="241"/>
    <s v="#SoundtrackOfLife"/>
    <s v="ChillVibes"/>
  </r>
  <r>
    <s v="SP190"/>
    <x v="0"/>
    <d v="2025-01-16T00:00:00"/>
    <x v="0"/>
    <s v="Music that moves youâ€”only on Spotify."/>
    <n v="2605"/>
    <n v="282"/>
    <n v="148"/>
    <n v="32201"/>
    <n v="9.4251731312692151"/>
    <n v="49583"/>
    <n v="241"/>
    <s v="#NowPlaying"/>
    <s v="ChillVibes"/>
  </r>
  <r>
    <s v="SP191"/>
    <x v="2"/>
    <d v="2024-02-24T00:00:00"/>
    <x v="2"/>
    <s v="Discover fresh beats on Spotify!"/>
    <n v="4221"/>
    <n v="307"/>
    <n v="58"/>
    <n v="45080"/>
    <n v="10.173025732031943"/>
    <n v="37214"/>
    <n v="240"/>
    <s v="#DiscoverWeekly"/>
    <s v="SummerBeats"/>
  </r>
  <r>
    <s v="SP191"/>
    <x v="2"/>
    <d v="2024-02-24T00:00:00"/>
    <x v="2"/>
    <s v="Discover fresh beats on Spotify!"/>
    <n v="4221"/>
    <n v="307"/>
    <n v="58"/>
    <n v="45080"/>
    <n v="10.173025732031943"/>
    <n v="37214"/>
    <n v="240"/>
    <s v="#SoundtrackOfLife"/>
    <s v="SummerBeats"/>
  </r>
  <r>
    <s v="SP192"/>
    <x v="1"/>
    <d v="2024-09-16T00:00:00"/>
    <x v="1"/>
    <s v="Whatâ€™s your vibe today? #SpotifyHits"/>
    <n v="4422"/>
    <n v="434"/>
    <n v="156"/>
    <n v="56165"/>
    <n v="8.9237069349238851"/>
    <n v="52431"/>
    <n v="173"/>
    <s v="#DiscoverWeekly"/>
    <s v="ChillVibes"/>
  </r>
  <r>
    <s v="SP192"/>
    <x v="1"/>
    <d v="2024-09-16T00:00:00"/>
    <x v="1"/>
    <s v="Whatâ€™s your vibe today? #SpotifyHits"/>
    <n v="4422"/>
    <n v="434"/>
    <n v="156"/>
    <n v="56165"/>
    <n v="8.9237069349238851"/>
    <n v="52431"/>
    <n v="173"/>
    <s v="#MusicForEveryone"/>
    <s v="ChillVibes"/>
  </r>
  <r>
    <s v="SP193"/>
    <x v="2"/>
    <d v="2024-06-04T00:00:00"/>
    <x v="2"/>
    <s v="Wrapped is here! Relive your top tracks ðŸŽ§"/>
    <n v="1211"/>
    <n v="431"/>
    <n v="83"/>
    <n v="26532"/>
    <n v="6.5015829941203069"/>
    <n v="47305"/>
    <n v="232"/>
    <s v="#DiscoverWeekly"/>
    <s v="SummerBeats"/>
  </r>
  <r>
    <s v="SP193"/>
    <x v="2"/>
    <d v="2024-06-04T00:00:00"/>
    <x v="2"/>
    <s v="Wrapped is here! Relive your top tracks ðŸŽ§"/>
    <n v="1211"/>
    <n v="431"/>
    <n v="83"/>
    <n v="26532"/>
    <n v="6.5015829941203069"/>
    <n v="47305"/>
    <n v="232"/>
    <s v="#SoundtrackOfLife"/>
    <s v="SummerBeats"/>
  </r>
  <r>
    <s v="SP194"/>
    <x v="1"/>
    <d v="2024-05-10T00:00:00"/>
    <x v="1"/>
    <s v="Explore the latest podcasts now."/>
    <n v="2784"/>
    <n v="111"/>
    <n v="399"/>
    <n v="58366"/>
    <n v="5.6436966727204192"/>
    <n v="69512"/>
    <n v="269"/>
    <s v="#MusicForEveryone"/>
    <s v="ChillVibes"/>
  </r>
  <r>
    <s v="SP194"/>
    <x v="1"/>
    <d v="2024-05-10T00:00:00"/>
    <x v="1"/>
    <s v="Explore the latest podcasts now."/>
    <n v="2784"/>
    <n v="111"/>
    <n v="399"/>
    <n v="58366"/>
    <n v="5.6436966727204192"/>
    <n v="69512"/>
    <n v="269"/>
    <s v="#NowPlaying"/>
    <s v="ChillVibes"/>
  </r>
  <r>
    <s v="SP195"/>
    <x v="2"/>
    <d v="2024-01-14T00:00:00"/>
    <x v="0"/>
    <s v="New music just dropped. Hit play!"/>
    <n v="3634"/>
    <n v="280"/>
    <n v="399"/>
    <n v="40256"/>
    <n v="10.713930842607313"/>
    <n v="52605"/>
    <n v="213"/>
    <s v="#DiscoverWeekly"/>
    <s v="IndieWave"/>
  </r>
  <r>
    <s v="SP195"/>
    <x v="2"/>
    <d v="2024-01-14T00:00:00"/>
    <x v="0"/>
    <s v="New music just dropped. Hit play!"/>
    <n v="3634"/>
    <n v="280"/>
    <n v="399"/>
    <n v="40256"/>
    <n v="10.713930842607313"/>
    <n v="52605"/>
    <n v="213"/>
    <s v="#SpotifyWrapped"/>
    <s v="IndieWave"/>
  </r>
  <r>
    <s v="SP196"/>
    <x v="0"/>
    <d v="2025-01-12T00:00:00"/>
    <x v="0"/>
    <s v="From pop to podcasts, itâ€™s all here."/>
    <n v="1771"/>
    <n v="487"/>
    <n v="272"/>
    <n v="48810"/>
    <n v="5.1833640647408314"/>
    <n v="48084"/>
    <n v="272"/>
    <s v="#SoundtrackOfLife"/>
    <s v="ChillVibes"/>
  </r>
  <r>
    <s v="SP196"/>
    <x v="0"/>
    <d v="2025-01-12T00:00:00"/>
    <x v="0"/>
    <s v="From pop to podcasts, itâ€™s all here."/>
    <n v="1771"/>
    <n v="487"/>
    <n v="272"/>
    <n v="48810"/>
    <n v="5.1833640647408314"/>
    <n v="48084"/>
    <n v="272"/>
    <s v="#NowPlaying"/>
    <s v="ChillVibes"/>
  </r>
  <r>
    <s v="SP197"/>
    <x v="2"/>
    <d v="2024-12-08T00:00:00"/>
    <x v="0"/>
    <s v="Top trending tracks updated daily!"/>
    <n v="1424"/>
    <n v="396"/>
    <n v="312"/>
    <n v="59517"/>
    <n v="3.5821698002251456"/>
    <n v="46102"/>
    <n v="239"/>
    <s v="#DiscoverWeekly"/>
    <s v="IndieWave"/>
  </r>
  <r>
    <s v="SP197"/>
    <x v="2"/>
    <d v="2024-12-08T00:00:00"/>
    <x v="0"/>
    <s v="Top trending tracks updated daily!"/>
    <n v="1424"/>
    <n v="396"/>
    <n v="312"/>
    <n v="59517"/>
    <n v="3.5821698002251456"/>
    <n v="46102"/>
    <n v="239"/>
    <s v="#SpotifyWrapped"/>
    <s v="IndieWave"/>
  </r>
  <r>
    <s v="SP198"/>
    <x v="1"/>
    <d v="2025-02-01T00:00:00"/>
    <x v="1"/>
    <s v="Top trending tracks updated daily!"/>
    <n v="1079"/>
    <n v="265"/>
    <n v="190"/>
    <n v="43786"/>
    <n v="3.5034029141734799"/>
    <n v="72428"/>
    <n v="222"/>
    <s v="#SoundtrackOfLife"/>
    <s v="ChillVibes"/>
  </r>
  <r>
    <s v="SP198"/>
    <x v="1"/>
    <d v="2025-02-01T00:00:00"/>
    <x v="1"/>
    <s v="Top trending tracks updated daily!"/>
    <n v="1079"/>
    <n v="265"/>
    <n v="190"/>
    <n v="43786"/>
    <n v="3.5034029141734799"/>
    <n v="72428"/>
    <n v="222"/>
    <s v="#NowPlaying"/>
    <s v="ChillVibes"/>
  </r>
  <r>
    <s v="SP199"/>
    <x v="1"/>
    <d v="2024-07-11T00:00:00"/>
    <x v="1"/>
    <s v="Get into the groove with our new drop!"/>
    <n v="4247"/>
    <n v="179"/>
    <n v="175"/>
    <n v="32991"/>
    <n v="13.946227759085811"/>
    <n v="70120"/>
    <n v="276"/>
    <s v="#SoundtrackOfLife"/>
    <s v="ChillVibes"/>
  </r>
  <r>
    <s v="SP199"/>
    <x v="1"/>
    <d v="2024-07-11T00:00:00"/>
    <x v="1"/>
    <s v="Get into the groove with our new drop!"/>
    <n v="4247"/>
    <n v="179"/>
    <n v="175"/>
    <n v="32991"/>
    <n v="13.946227759085811"/>
    <n v="70120"/>
    <n v="276"/>
    <s v="#NowPlaying"/>
    <s v="ChillVibes"/>
  </r>
  <r>
    <s v="SP200"/>
    <x v="1"/>
    <d v="2024-03-18T00:00:00"/>
    <x v="0"/>
    <s v="New music just dropped. Hit play!"/>
    <n v="2033"/>
    <n v="420"/>
    <n v="94"/>
    <n v="56290"/>
    <n v="4.5247823769763729"/>
    <n v="57391"/>
    <n v="196"/>
    <s v="#NowPlaying"/>
    <s v="ChillVibes"/>
  </r>
  <r>
    <s v="SP201"/>
    <x v="1"/>
    <d v="2024-09-12T00:00:00"/>
    <x v="1"/>
    <s v="Wrapped is here! Relive your top tracks ðŸŽ§"/>
    <n v="1839"/>
    <n v="223"/>
    <n v="171"/>
    <n v="35459"/>
    <n v="6.2974139146620036"/>
    <n v="69988"/>
    <n v="114"/>
    <s v="#MusicForEveryone"/>
    <s v="ChillVibes"/>
  </r>
  <r>
    <s v="SP201"/>
    <x v="1"/>
    <d v="2024-09-12T00:00:00"/>
    <x v="1"/>
    <s v="Wrapped is here! Relive your top tracks ðŸŽ§"/>
    <n v="1839"/>
    <n v="223"/>
    <n v="171"/>
    <n v="35459"/>
    <n v="6.2974139146620036"/>
    <n v="69988"/>
    <n v="114"/>
    <s v="#NowPlaying"/>
    <s v="ChillVibes"/>
  </r>
  <r>
    <s v="SP202"/>
    <x v="1"/>
    <d v="2024-01-11T00:00:00"/>
    <x v="1"/>
    <s v="Wrapped is here! Relive your top tracks ðŸŽ§"/>
    <n v="2340"/>
    <n v="141"/>
    <n v="206"/>
    <n v="24916"/>
    <n v="10.784235029699792"/>
    <n v="30582"/>
    <n v="157"/>
    <s v="#SoundtrackOfLife"/>
    <s v="ChillVibes"/>
  </r>
  <r>
    <s v="SP202"/>
    <x v="1"/>
    <d v="2024-01-11T00:00:00"/>
    <x v="1"/>
    <s v="Wrapped is here! Relive your top tracks ðŸŽ§"/>
    <n v="2340"/>
    <n v="141"/>
    <n v="206"/>
    <n v="24916"/>
    <n v="10.784235029699792"/>
    <n v="30582"/>
    <n v="157"/>
    <s v="#NowPlaying"/>
    <s v="ChillVibes"/>
  </r>
  <r>
    <s v="SP203"/>
    <x v="0"/>
    <d v="2024-10-06T00:00:00"/>
    <x v="0"/>
    <s v="Top trending tracks updated daily!"/>
    <n v="2080"/>
    <n v="389"/>
    <n v="92"/>
    <n v="30971"/>
    <n v="8.269025862904007"/>
    <n v="25347"/>
    <n v="111"/>
    <s v="#DiscoverWeekly"/>
    <s v="IndieWave"/>
  </r>
  <r>
    <s v="SP204"/>
    <x v="1"/>
    <d v="2024-12-30T00:00:00"/>
    <x v="0"/>
    <s v="Get into the groove with our new drop!"/>
    <n v="4214"/>
    <n v="286"/>
    <n v="127"/>
    <n v="47293"/>
    <n v="9.7836889180216957"/>
    <n v="27184"/>
    <n v="232"/>
    <s v="#NowPlaying"/>
    <s v="ChillVibes"/>
  </r>
  <r>
    <s v="SP205"/>
    <x v="1"/>
    <d v="2025-04-16T00:00:00"/>
    <x v="0"/>
    <s v="Wrapped is here! Relive your top tracks ðŸŽ§"/>
    <n v="3792"/>
    <n v="315"/>
    <n v="120"/>
    <n v="54592"/>
    <n v="7.7428927315357567"/>
    <n v="67886"/>
    <n v="117"/>
    <s v="#SoundtrackOfLife"/>
    <s v="IndieWave"/>
  </r>
  <r>
    <s v="SP206"/>
    <x v="1"/>
    <d v="2024-08-21T00:00:00"/>
    <x v="1"/>
    <s v="Explore the latest podcasts now."/>
    <n v="3989"/>
    <n v="476"/>
    <n v="128"/>
    <n v="57569"/>
    <n v="7.9782521843353189"/>
    <n v="40193"/>
    <n v="222"/>
    <s v="#DiscoverWeekly"/>
    <s v="ChillVibes"/>
  </r>
  <r>
    <s v="SP206"/>
    <x v="1"/>
    <d v="2024-08-21T00:00:00"/>
    <x v="1"/>
    <s v="Explore the latest podcasts now."/>
    <n v="3989"/>
    <n v="476"/>
    <n v="128"/>
    <n v="57569"/>
    <n v="7.9782521843353189"/>
    <n v="40193"/>
    <n v="222"/>
    <s v="#MusicForEveryone"/>
    <s v="ChillVibes"/>
  </r>
  <r>
    <s v="SP207"/>
    <x v="1"/>
    <d v="2024-04-05T00:00:00"/>
    <x v="1"/>
    <s v="Wrapped is here! Relive your top tracks ðŸŽ§"/>
    <n v="2857"/>
    <n v="443"/>
    <n v="359"/>
    <n v="51519"/>
    <n v="7.102234127215203"/>
    <n v="28256"/>
    <n v="155"/>
    <s v="#SoundtrackOfLife"/>
    <s v="ChillVibes"/>
  </r>
  <r>
    <s v="SP207"/>
    <x v="1"/>
    <d v="2024-04-05T00:00:00"/>
    <x v="1"/>
    <s v="Wrapped is here! Relive your top tracks ðŸŽ§"/>
    <n v="2857"/>
    <n v="443"/>
    <n v="359"/>
    <n v="51519"/>
    <n v="7.102234127215203"/>
    <n v="28256"/>
    <n v="155"/>
    <s v="#NowPlaying"/>
    <s v="ChillVibes"/>
  </r>
  <r>
    <s v="SP208"/>
    <x v="1"/>
    <d v="2025-04-07T00:00:00"/>
    <x v="0"/>
    <s v="From pop to podcasts, itâ€™s all here."/>
    <n v="1403"/>
    <n v="385"/>
    <n v="344"/>
    <n v="54223"/>
    <n v="3.9319108127547353"/>
    <n v="72595"/>
    <n v="239"/>
    <s v="#SoundtrackOfLife"/>
    <s v="IndieWave"/>
  </r>
  <r>
    <s v="SP209"/>
    <x v="1"/>
    <d v="2024-07-19T00:00:00"/>
    <x v="1"/>
    <s v="Whatâ€™s your vibe today? #SpotifyHits"/>
    <n v="3071"/>
    <n v="126"/>
    <n v="200"/>
    <n v="44013"/>
    <n v="7.7181741758116917"/>
    <n v="44679"/>
    <n v="118"/>
    <s v="#DiscoverWeekly"/>
    <s v="ChillVibes"/>
  </r>
  <r>
    <s v="SP209"/>
    <x v="1"/>
    <d v="2024-07-19T00:00:00"/>
    <x v="1"/>
    <s v="Whatâ€™s your vibe today? #SpotifyHits"/>
    <n v="3071"/>
    <n v="126"/>
    <n v="200"/>
    <n v="44013"/>
    <n v="7.7181741758116917"/>
    <n v="44679"/>
    <n v="118"/>
    <s v="#MusicForEveryone"/>
    <s v="ChillVibes"/>
  </r>
  <r>
    <s v="SP210"/>
    <x v="1"/>
    <d v="2025-05-03T00:00:00"/>
    <x v="1"/>
    <s v="Top trending tracks updated daily!"/>
    <n v="1010"/>
    <n v="361"/>
    <n v="240"/>
    <n v="47229"/>
    <n v="3.4110398272247981"/>
    <n v="72573"/>
    <n v="275"/>
    <s v="#SoundtrackOfLife"/>
    <s v="ChillVibes"/>
  </r>
  <r>
    <s v="SP210"/>
    <x v="1"/>
    <d v="2025-05-03T00:00:00"/>
    <x v="1"/>
    <s v="Top trending tracks updated daily!"/>
    <n v="1010"/>
    <n v="361"/>
    <n v="240"/>
    <n v="47229"/>
    <n v="3.4110398272247981"/>
    <n v="72573"/>
    <n v="275"/>
    <s v="#NowPlaying"/>
    <s v="ChillVibes"/>
  </r>
  <r>
    <s v="SP211"/>
    <x v="1"/>
    <d v="2024-04-14T00:00:00"/>
    <x v="1"/>
    <s v="Discover fresh beats on Spotify!"/>
    <n v="1295"/>
    <n v="153"/>
    <n v="81"/>
    <n v="48350"/>
    <n v="3.1623578076525334"/>
    <n v="61033"/>
    <n v="232"/>
    <s v="#DiscoverWeekly"/>
    <s v="ChillVibes"/>
  </r>
  <r>
    <s v="SP211"/>
    <x v="1"/>
    <d v="2024-04-14T00:00:00"/>
    <x v="1"/>
    <s v="Discover fresh beats on Spotify!"/>
    <n v="1295"/>
    <n v="153"/>
    <n v="81"/>
    <n v="48350"/>
    <n v="3.1623578076525334"/>
    <n v="61033"/>
    <n v="232"/>
    <s v="#MusicForEveryone"/>
    <s v="ChillVibes"/>
  </r>
  <r>
    <s v="SP212"/>
    <x v="1"/>
    <d v="2025-06-19T00:00:00"/>
    <x v="1"/>
    <s v="Whatâ€™s your vibe today? #SpotifyHits"/>
    <n v="1433"/>
    <n v="452"/>
    <n v="305"/>
    <n v="54541"/>
    <n v="4.0153279184466735"/>
    <n v="63700"/>
    <n v="296"/>
    <s v="#DiscoverWeekly"/>
    <s v="ChillVibes"/>
  </r>
  <r>
    <s v="SP212"/>
    <x v="1"/>
    <d v="2025-06-19T00:00:00"/>
    <x v="1"/>
    <s v="Whatâ€™s your vibe today? #SpotifyHits"/>
    <n v="1433"/>
    <n v="452"/>
    <n v="305"/>
    <n v="54541"/>
    <n v="4.0153279184466735"/>
    <n v="63700"/>
    <n v="296"/>
    <s v="#MusicForEveryone"/>
    <s v="ChillVibes"/>
  </r>
  <r>
    <s v="SP213"/>
    <x v="0"/>
    <d v="2025-06-24T00:00:00"/>
    <x v="1"/>
    <s v="Get into the groove with our new drop!"/>
    <n v="4902"/>
    <n v="422"/>
    <n v="376"/>
    <n v="31674"/>
    <n v="17.995832544042432"/>
    <n v="53225"/>
    <n v="147"/>
    <s v="#NowPlaying"/>
    <s v="Wrapped2024"/>
  </r>
  <r>
    <s v="SP214"/>
    <x v="1"/>
    <d v="2024-10-09T00:00:00"/>
    <x v="0"/>
    <s v="Wrapped is here! Relive your top tracks ðŸŽ§"/>
    <n v="2659"/>
    <n v="167"/>
    <n v="73"/>
    <n v="23090"/>
    <n v="12.555218709398009"/>
    <n v="25872"/>
    <n v="293"/>
    <s v="#SoundtrackOfLife"/>
    <s v="IndieWave"/>
  </r>
  <r>
    <s v="SP215"/>
    <x v="2"/>
    <d v="2025-01-15T00:00:00"/>
    <x v="0"/>
    <s v="Your weekend playlist is waiting."/>
    <n v="2599"/>
    <n v="324"/>
    <n v="182"/>
    <n v="37525"/>
    <n v="8.2744836775483019"/>
    <n v="37216"/>
    <n v="186"/>
    <s v="#DiscoverWeekly"/>
    <s v="IndieWave"/>
  </r>
  <r>
    <s v="SP215"/>
    <x v="2"/>
    <d v="2025-01-15T00:00:00"/>
    <x v="0"/>
    <s v="Your weekend playlist is waiting."/>
    <n v="2599"/>
    <n v="324"/>
    <n v="182"/>
    <n v="37525"/>
    <n v="8.2744836775483019"/>
    <n v="37216"/>
    <n v="186"/>
    <s v="#SpotifyWrapped"/>
    <s v="IndieWave"/>
  </r>
  <r>
    <s v="SP216"/>
    <x v="1"/>
    <d v="2025-01-12T00:00:00"/>
    <x v="0"/>
    <s v="Music that moves youâ€”only on Spotify."/>
    <n v="1765"/>
    <n v="285"/>
    <n v="100"/>
    <n v="41313"/>
    <n v="5.2041730205988426"/>
    <n v="56575"/>
    <n v="174"/>
    <s v="#SoundtrackOfLife"/>
    <s v="IndieWave"/>
  </r>
  <r>
    <s v="SP217"/>
    <x v="0"/>
    <d v="2025-05-31T00:00:00"/>
    <x v="0"/>
    <s v="Whatâ€™s your vibe today? #SpotifyHits"/>
    <n v="2169"/>
    <n v="240"/>
    <n v="57"/>
    <n v="26109"/>
    <n v="9.4450189589796612"/>
    <n v="46667"/>
    <n v="133"/>
    <s v="#SoundtrackOfLife"/>
    <s v="ChillVibes"/>
  </r>
  <r>
    <s v="SP217"/>
    <x v="0"/>
    <d v="2025-05-31T00:00:00"/>
    <x v="0"/>
    <s v="Whatâ€™s your vibe today? #SpotifyHits"/>
    <n v="2169"/>
    <n v="240"/>
    <n v="57"/>
    <n v="26109"/>
    <n v="9.4450189589796612"/>
    <n v="46667"/>
    <n v="133"/>
    <s v="#NowPlaying"/>
    <s v="ChillVibes"/>
  </r>
  <r>
    <s v="SP218"/>
    <x v="1"/>
    <d v="2024-10-14T00:00:00"/>
    <x v="1"/>
    <s v="Explore the latest podcasts now."/>
    <n v="4303"/>
    <n v="306"/>
    <n v="302"/>
    <n v="39575"/>
    <n v="12.409349336702464"/>
    <n v="33762"/>
    <n v="265"/>
    <s v="#DiscoverWeekly"/>
    <s v="ChillVibes"/>
  </r>
  <r>
    <s v="SP218"/>
    <x v="1"/>
    <d v="2024-10-14T00:00:00"/>
    <x v="1"/>
    <s v="Explore the latest podcasts now."/>
    <n v="4303"/>
    <n v="306"/>
    <n v="302"/>
    <n v="39575"/>
    <n v="12.409349336702464"/>
    <n v="33762"/>
    <n v="265"/>
    <s v="#MusicForEveryone"/>
    <s v="ChillVibes"/>
  </r>
  <r>
    <s v="SP219"/>
    <x v="1"/>
    <d v="2024-02-10T00:00:00"/>
    <x v="0"/>
    <s v="From pop to podcasts, itâ€™s all here."/>
    <n v="1519"/>
    <n v="456"/>
    <n v="379"/>
    <n v="51611"/>
    <n v="4.5610431884675746"/>
    <n v="45880"/>
    <n v="176"/>
    <s v="#SoundtrackOfLife"/>
    <s v="IndieWave"/>
  </r>
  <r>
    <s v="SP220"/>
    <x v="2"/>
    <d v="2024-12-10T00:00:00"/>
    <x v="0"/>
    <s v="Whatâ€™s your vibe today? #SpotifyHits"/>
    <n v="2569"/>
    <n v="140"/>
    <n v="375"/>
    <n v="38372"/>
    <n v="8.0371103929948919"/>
    <n v="22102"/>
    <n v="255"/>
    <s v="#DiscoverWeekly"/>
    <s v="IndieWave"/>
  </r>
  <r>
    <s v="SP220"/>
    <x v="2"/>
    <d v="2024-12-10T00:00:00"/>
    <x v="0"/>
    <s v="Whatâ€™s your vibe today? #SpotifyHits"/>
    <n v="2569"/>
    <n v="140"/>
    <n v="375"/>
    <n v="38372"/>
    <n v="8.0371103929948919"/>
    <n v="22102"/>
    <n v="255"/>
    <s v="#SpotifyWrapped"/>
    <s v="IndieWave"/>
  </r>
  <r>
    <s v="SP221"/>
    <x v="1"/>
    <d v="2025-05-09T00:00:00"/>
    <x v="1"/>
    <s v="Music that moves youâ€”only on Spotify."/>
    <n v="2778"/>
    <n v="241"/>
    <n v="317"/>
    <n v="26247"/>
    <n v="12.71002400274317"/>
    <n v="20677"/>
    <n v="282"/>
    <s v="#MusicForEveryone"/>
    <s v="ChillVibes"/>
  </r>
  <r>
    <s v="SP221"/>
    <x v="1"/>
    <d v="2025-05-09T00:00:00"/>
    <x v="1"/>
    <s v="Music that moves youâ€”only on Spotify."/>
    <n v="2778"/>
    <n v="241"/>
    <n v="317"/>
    <n v="26247"/>
    <n v="12.71002400274317"/>
    <n v="20677"/>
    <n v="282"/>
    <s v="#NowPlaying"/>
    <s v="ChillVibes"/>
  </r>
  <r>
    <s v="SP222"/>
    <x v="1"/>
    <d v="2025-06-21T00:00:00"/>
    <x v="0"/>
    <s v="Explore the latest podcasts now."/>
    <n v="3611"/>
    <n v="127"/>
    <n v="139"/>
    <n v="44768"/>
    <n v="8.6602037169406714"/>
    <n v="29435"/>
    <n v="178"/>
    <s v="#NowPlaying"/>
    <s v="ChillVibes"/>
  </r>
  <r>
    <s v="SP223"/>
    <x v="1"/>
    <d v="2024-06-19T00:00:00"/>
    <x v="0"/>
    <s v="Whatâ€™s your vibe today? #SpotifyHits"/>
    <n v="1224"/>
    <n v="168"/>
    <n v="199"/>
    <n v="54232"/>
    <n v="2.9336922849977873"/>
    <n v="52844"/>
    <n v="271"/>
    <s v="#SoundtrackOfLife"/>
    <s v="IndieWave"/>
  </r>
  <r>
    <s v="SP224"/>
    <x v="1"/>
    <d v="2024-12-10T00:00:00"/>
    <x v="0"/>
    <s v="From pop to podcasts, itâ€™s all here."/>
    <n v="4673"/>
    <n v="270"/>
    <n v="93"/>
    <n v="45260"/>
    <n v="11.126822801590809"/>
    <n v="57513"/>
    <n v="103"/>
    <s v="#NowPlaying"/>
    <s v="ChillVibes"/>
  </r>
  <r>
    <s v="SP225"/>
    <x v="2"/>
    <d v="2024-02-01T00:00:00"/>
    <x v="0"/>
    <s v="Wrapped is here! Relive your top tracks ðŸŽ§"/>
    <n v="1432"/>
    <n v="437"/>
    <n v="267"/>
    <n v="40634"/>
    <n v="5.2566815966924256"/>
    <n v="54511"/>
    <n v="197"/>
    <s v="#DiscoverWeekly"/>
    <s v="IndieWave"/>
  </r>
  <r>
    <s v="SP225"/>
    <x v="2"/>
    <d v="2024-02-01T00:00:00"/>
    <x v="0"/>
    <s v="Wrapped is here! Relive your top tracks ðŸŽ§"/>
    <n v="1432"/>
    <n v="437"/>
    <n v="267"/>
    <n v="40634"/>
    <n v="5.2566815966924256"/>
    <n v="54511"/>
    <n v="197"/>
    <s v="#SpotifyWrapped"/>
    <s v="IndieWave"/>
  </r>
  <r>
    <s v="SP226"/>
    <x v="1"/>
    <d v="2024-01-17T00:00:00"/>
    <x v="1"/>
    <s v="New music just dropped. Hit play!"/>
    <n v="2174"/>
    <n v="499"/>
    <n v="212"/>
    <n v="54938"/>
    <n v="5.2513742764570974"/>
    <n v="27190"/>
    <n v="265"/>
    <s v="#MusicForEveryone"/>
    <s v="ChillVibes"/>
  </r>
  <r>
    <s v="SP226"/>
    <x v="1"/>
    <d v="2024-01-17T00:00:00"/>
    <x v="1"/>
    <s v="New music just dropped. Hit play!"/>
    <n v="2174"/>
    <n v="499"/>
    <n v="212"/>
    <n v="54938"/>
    <n v="5.2513742764570974"/>
    <n v="27190"/>
    <n v="265"/>
    <s v="#NowPlaying"/>
    <s v="ChillVibes"/>
  </r>
  <r>
    <s v="SP227"/>
    <x v="2"/>
    <d v="2025-03-22T00:00:00"/>
    <x v="0"/>
    <s v="Music that moves youâ€”only on Spotify."/>
    <n v="4308"/>
    <n v="171"/>
    <n v="106"/>
    <n v="36955"/>
    <n v="12.406981463942634"/>
    <n v="23949"/>
    <n v="294"/>
    <s v="#DiscoverWeekly"/>
    <s v="IndieWave"/>
  </r>
  <r>
    <s v="SP227"/>
    <x v="2"/>
    <d v="2025-03-22T00:00:00"/>
    <x v="0"/>
    <s v="Music that moves youâ€”only on Spotify."/>
    <n v="4308"/>
    <n v="171"/>
    <n v="106"/>
    <n v="36955"/>
    <n v="12.406981463942634"/>
    <n v="23949"/>
    <n v="294"/>
    <s v="#SpotifyWrapped"/>
    <s v="IndieWave"/>
  </r>
  <r>
    <s v="SP228"/>
    <x v="2"/>
    <d v="2024-05-30T00:00:00"/>
    <x v="2"/>
    <s v="Whatâ€™s your vibe today? #SpotifyHits"/>
    <n v="1060"/>
    <n v="442"/>
    <n v="319"/>
    <n v="57194"/>
    <n v="3.1839004091338254"/>
    <n v="24258"/>
    <n v="101"/>
    <s v="#DiscoverWeekly"/>
    <s v="SummerBeats"/>
  </r>
  <r>
    <s v="SP228"/>
    <x v="2"/>
    <d v="2024-05-30T00:00:00"/>
    <x v="2"/>
    <s v="Whatâ€™s your vibe today? #SpotifyHits"/>
    <n v="1060"/>
    <n v="442"/>
    <n v="319"/>
    <n v="57194"/>
    <n v="3.1839004091338254"/>
    <n v="24258"/>
    <n v="101"/>
    <s v="#SoundtrackOfLife"/>
    <s v="SummerBeats"/>
  </r>
  <r>
    <s v="SP229"/>
    <x v="2"/>
    <d v="2024-02-24T00:00:00"/>
    <x v="0"/>
    <s v="Music that moves youâ€”only on Spotify."/>
    <n v="4653"/>
    <n v="226"/>
    <n v="349"/>
    <n v="56876"/>
    <n v="9.1919262958013928"/>
    <n v="28452"/>
    <n v="257"/>
    <s v="#DiscoverWeekly"/>
    <s v="IndieWave"/>
  </r>
  <r>
    <s v="SP229"/>
    <x v="2"/>
    <d v="2024-02-24T00:00:00"/>
    <x v="0"/>
    <s v="Music that moves youâ€”only on Spotify."/>
    <n v="4653"/>
    <n v="226"/>
    <n v="349"/>
    <n v="56876"/>
    <n v="9.1919262958013928"/>
    <n v="28452"/>
    <n v="257"/>
    <s v="#SpotifyWrapped"/>
    <s v="IndieWave"/>
  </r>
  <r>
    <s v="SP230"/>
    <x v="2"/>
    <d v="2025-05-14T00:00:00"/>
    <x v="0"/>
    <s v="Discover fresh beats on Spotify!"/>
    <n v="1701"/>
    <n v="272"/>
    <n v="385"/>
    <n v="47496"/>
    <n v="4.9646286003031834"/>
    <n v="40832"/>
    <n v="246"/>
    <s v="#DiscoverWeekly"/>
    <s v="IndieWave"/>
  </r>
  <r>
    <s v="SP230"/>
    <x v="2"/>
    <d v="2025-05-14T00:00:00"/>
    <x v="0"/>
    <s v="Discover fresh beats on Spotify!"/>
    <n v="1701"/>
    <n v="272"/>
    <n v="385"/>
    <n v="47496"/>
    <n v="4.9646286003031834"/>
    <n v="40832"/>
    <n v="246"/>
    <s v="#SpotifyWrapped"/>
    <s v="IndieWave"/>
  </r>
  <r>
    <s v="SP231"/>
    <x v="0"/>
    <d v="2024-03-28T00:00:00"/>
    <x v="0"/>
    <s v="Whatâ€™s your vibe today? #SpotifyHits"/>
    <n v="1673"/>
    <n v="280"/>
    <n v="67"/>
    <n v="29847"/>
    <n v="6.7678493650953202"/>
    <n v="48016"/>
    <n v="213"/>
    <s v="#SoundtrackOfLife"/>
    <s v="ChillVibes"/>
  </r>
  <r>
    <s v="SP231"/>
    <x v="0"/>
    <d v="2024-03-28T00:00:00"/>
    <x v="0"/>
    <s v="Whatâ€™s your vibe today? #SpotifyHits"/>
    <n v="1673"/>
    <n v="280"/>
    <n v="67"/>
    <n v="29847"/>
    <n v="6.7678493650953202"/>
    <n v="48016"/>
    <n v="213"/>
    <s v="#NowPlaying"/>
    <s v="ChillVibes"/>
  </r>
  <r>
    <s v="SP232"/>
    <x v="2"/>
    <d v="2025-03-07T00:00:00"/>
    <x v="0"/>
    <s v="Top trending tracks updated daily!"/>
    <n v="4310"/>
    <n v="284"/>
    <n v="306"/>
    <n v="44606"/>
    <n v="10.985069273191947"/>
    <n v="42604"/>
    <n v="290"/>
    <s v="#DiscoverWeekly"/>
    <s v="IndieWave"/>
  </r>
  <r>
    <s v="SP232"/>
    <x v="2"/>
    <d v="2025-03-07T00:00:00"/>
    <x v="0"/>
    <s v="Top trending tracks updated daily!"/>
    <n v="4310"/>
    <n v="284"/>
    <n v="306"/>
    <n v="44606"/>
    <n v="10.985069273191947"/>
    <n v="42604"/>
    <n v="290"/>
    <s v="#SpotifyWrapped"/>
    <s v="IndieWave"/>
  </r>
  <r>
    <s v="SP233"/>
    <x v="1"/>
    <d v="2024-10-20T00:00:00"/>
    <x v="0"/>
    <s v="From pop to podcasts, itâ€™s all here."/>
    <n v="2752"/>
    <n v="309"/>
    <n v="91"/>
    <n v="39038"/>
    <n v="8.0741841282852604"/>
    <n v="28095"/>
    <n v="277"/>
    <s v="#NowPlaying"/>
    <s v="ChillVibes"/>
  </r>
  <r>
    <s v="SP234"/>
    <x v="1"/>
    <d v="2024-02-02T00:00:00"/>
    <x v="0"/>
    <s v="From pop to podcasts, itâ€™s all here."/>
    <n v="3818"/>
    <n v="115"/>
    <n v="286"/>
    <n v="25127"/>
    <n v="16.790703227603775"/>
    <n v="22277"/>
    <n v="263"/>
    <s v="#NowPlaying"/>
    <s v="ChillVibes"/>
  </r>
  <r>
    <s v="SP235"/>
    <x v="2"/>
    <d v="2024-09-07T00:00:00"/>
    <x v="0"/>
    <s v="Your weekend playlist is waiting."/>
    <n v="2101"/>
    <n v="411"/>
    <n v="190"/>
    <n v="41791"/>
    <n v="6.4655069273288515"/>
    <n v="57090"/>
    <n v="172"/>
    <s v="#DiscoverWeekly"/>
    <s v="IndieWave"/>
  </r>
  <r>
    <s v="SP235"/>
    <x v="2"/>
    <d v="2024-09-07T00:00:00"/>
    <x v="0"/>
    <s v="Your weekend playlist is waiting."/>
    <n v="2101"/>
    <n v="411"/>
    <n v="190"/>
    <n v="41791"/>
    <n v="6.4655069273288515"/>
    <n v="57090"/>
    <n v="172"/>
    <s v="#SpotifyWrapped"/>
    <s v="IndieWave"/>
  </r>
  <r>
    <s v="SP236"/>
    <x v="0"/>
    <d v="2024-12-20T00:00:00"/>
    <x v="0"/>
    <s v="Discover fresh beats on Spotify!"/>
    <n v="2519"/>
    <n v="202"/>
    <n v="239"/>
    <n v="36245"/>
    <n v="8.166643674989654"/>
    <n v="48606"/>
    <n v="145"/>
    <s v="#DiscoverWeekly"/>
    <s v="IndieWave"/>
  </r>
  <r>
    <s v="SP237"/>
    <x v="2"/>
    <d v="2024-01-14T00:00:00"/>
    <x v="0"/>
    <s v="Whatâ€™s your vibe today? #SpotifyHits"/>
    <n v="4502"/>
    <n v="238"/>
    <n v="386"/>
    <n v="39198"/>
    <n v="13.077197816215113"/>
    <n v="25050"/>
    <n v="297"/>
    <s v="#DiscoverWeekly"/>
    <s v="IndieWave"/>
  </r>
  <r>
    <s v="SP237"/>
    <x v="2"/>
    <d v="2024-01-14T00:00:00"/>
    <x v="0"/>
    <s v="Whatâ€™s your vibe today? #SpotifyHits"/>
    <n v="4502"/>
    <n v="238"/>
    <n v="386"/>
    <n v="39198"/>
    <n v="13.077197816215113"/>
    <n v="25050"/>
    <n v="297"/>
    <s v="#SpotifyWrapped"/>
    <s v="IndieWave"/>
  </r>
  <r>
    <s v="SP238"/>
    <x v="0"/>
    <d v="2025-06-15T00:00:00"/>
    <x v="0"/>
    <s v="Explore the latest podcasts now."/>
    <n v="2478"/>
    <n v="427"/>
    <n v="242"/>
    <n v="59272"/>
    <n v="5.3094209744904841"/>
    <n v="37833"/>
    <n v="214"/>
    <s v="#SoundtrackOfLife"/>
    <s v="ChillVibes"/>
  </r>
  <r>
    <s v="SP238"/>
    <x v="0"/>
    <d v="2025-06-15T00:00:00"/>
    <x v="0"/>
    <s v="Explore the latest podcasts now."/>
    <n v="2478"/>
    <n v="427"/>
    <n v="242"/>
    <n v="59272"/>
    <n v="5.3094209744904841"/>
    <n v="37833"/>
    <n v="214"/>
    <s v="#NowPlaying"/>
    <s v="ChillVibes"/>
  </r>
  <r>
    <s v="SP239"/>
    <x v="1"/>
    <d v="2024-12-13T00:00:00"/>
    <x v="1"/>
    <s v="New music just dropped. Hit play!"/>
    <n v="4984"/>
    <n v="300"/>
    <n v="338"/>
    <n v="32900"/>
    <n v="17.088145896656535"/>
    <n v="31691"/>
    <n v="160"/>
    <s v="#MusicForEveryone"/>
    <s v="ChillVibes"/>
  </r>
  <r>
    <s v="SP239"/>
    <x v="1"/>
    <d v="2024-12-13T00:00:00"/>
    <x v="1"/>
    <s v="New music just dropped. Hit play!"/>
    <n v="4984"/>
    <n v="300"/>
    <n v="338"/>
    <n v="32900"/>
    <n v="17.088145896656535"/>
    <n v="31691"/>
    <n v="160"/>
    <s v="#NowPlaying"/>
    <s v="ChillVibes"/>
  </r>
  <r>
    <s v="SP240"/>
    <x v="2"/>
    <d v="2024-08-29T00:00:00"/>
    <x v="0"/>
    <s v="Wrapped is here! Relive your top tracks ðŸŽ§"/>
    <n v="4774"/>
    <n v="389"/>
    <n v="358"/>
    <n v="52346"/>
    <n v="10.547128720437092"/>
    <n v="30518"/>
    <n v="277"/>
    <s v="#DiscoverWeekly"/>
    <s v="IndieWave"/>
  </r>
  <r>
    <s v="SP240"/>
    <x v="2"/>
    <d v="2024-08-29T00:00:00"/>
    <x v="0"/>
    <s v="Wrapped is here! Relive your top tracks ðŸŽ§"/>
    <n v="4774"/>
    <n v="389"/>
    <n v="358"/>
    <n v="52346"/>
    <n v="10.547128720437092"/>
    <n v="30518"/>
    <n v="277"/>
    <s v="#SpotifyWrapped"/>
    <s v="IndieWave"/>
  </r>
  <r>
    <s v="SP241"/>
    <x v="1"/>
    <d v="2024-09-15T00:00:00"/>
    <x v="0"/>
    <s v="Get into the groove with our new drop!"/>
    <n v="2145"/>
    <n v="340"/>
    <n v="85"/>
    <n v="53323"/>
    <n v="4.8196838137389122"/>
    <n v="49938"/>
    <n v="104"/>
    <s v="#NowPlaying"/>
    <s v="ChillVibes"/>
  </r>
  <r>
    <s v="SP242"/>
    <x v="1"/>
    <d v="2025-04-12T00:00:00"/>
    <x v="1"/>
    <s v="From pop to podcasts, itâ€™s all here."/>
    <n v="4315"/>
    <n v="208"/>
    <n v="273"/>
    <n v="35780"/>
    <n v="13.404136389044158"/>
    <n v="44349"/>
    <n v="133"/>
    <s v="#DiscoverWeekly"/>
    <s v="ChillVibes"/>
  </r>
  <r>
    <s v="SP242"/>
    <x v="1"/>
    <d v="2025-04-12T00:00:00"/>
    <x v="1"/>
    <s v="From pop to podcasts, itâ€™s all here."/>
    <n v="4315"/>
    <n v="208"/>
    <n v="273"/>
    <n v="35780"/>
    <n v="13.404136389044158"/>
    <n v="44349"/>
    <n v="133"/>
    <s v="#MusicForEveryone"/>
    <s v="ChillVibes"/>
  </r>
  <r>
    <s v="SP243"/>
    <x v="1"/>
    <d v="2024-12-10T00:00:00"/>
    <x v="1"/>
    <s v="Wrapped is here! Relive your top tracks ðŸŽ§"/>
    <n v="2267"/>
    <n v="230"/>
    <n v="243"/>
    <n v="27904"/>
    <n v="9.8193807339449553"/>
    <n v="69771"/>
    <n v="255"/>
    <s v="#DiscoverWeekly"/>
    <s v="ChillVibes"/>
  </r>
  <r>
    <s v="SP243"/>
    <x v="1"/>
    <d v="2024-12-10T00:00:00"/>
    <x v="1"/>
    <s v="Wrapped is here! Relive your top tracks ðŸŽ§"/>
    <n v="2267"/>
    <n v="230"/>
    <n v="243"/>
    <n v="27904"/>
    <n v="9.8193807339449553"/>
    <n v="69771"/>
    <n v="255"/>
    <s v="#MusicForEveryone"/>
    <s v="ChillVibes"/>
  </r>
  <r>
    <s v="SP244"/>
    <x v="2"/>
    <d v="2025-06-08T00:00:00"/>
    <x v="0"/>
    <s v="Music that moves youâ€”only on Spotify."/>
    <n v="4375"/>
    <n v="303"/>
    <n v="294"/>
    <n v="57468"/>
    <n v="8.6517714206166918"/>
    <n v="53397"/>
    <n v="159"/>
    <s v="#DiscoverWeekly"/>
    <s v="IndieWave"/>
  </r>
  <r>
    <s v="SP244"/>
    <x v="2"/>
    <d v="2025-06-08T00:00:00"/>
    <x v="0"/>
    <s v="Music that moves youâ€”only on Spotify."/>
    <n v="4375"/>
    <n v="303"/>
    <n v="294"/>
    <n v="57468"/>
    <n v="8.6517714206166918"/>
    <n v="53397"/>
    <n v="159"/>
    <s v="#SpotifyWrapped"/>
    <s v="IndieWave"/>
  </r>
  <r>
    <s v="SP245"/>
    <x v="1"/>
    <d v="2025-01-09T00:00:00"/>
    <x v="1"/>
    <s v="Your weekend playlist is waiting."/>
    <n v="3817"/>
    <n v="284"/>
    <n v="204"/>
    <n v="46434"/>
    <n v="9.271223672309084"/>
    <n v="53396"/>
    <n v="104"/>
    <s v="#MusicForEveryone"/>
    <s v="ChillVibes"/>
  </r>
  <r>
    <s v="SP245"/>
    <x v="1"/>
    <d v="2025-01-09T00:00:00"/>
    <x v="1"/>
    <s v="Your weekend playlist is waiting."/>
    <n v="3817"/>
    <n v="284"/>
    <n v="204"/>
    <n v="46434"/>
    <n v="9.271223672309084"/>
    <n v="53396"/>
    <n v="104"/>
    <s v="#NowPlaying"/>
    <s v="ChillVibes"/>
  </r>
  <r>
    <s v="SP246"/>
    <x v="1"/>
    <d v="2024-07-08T00:00:00"/>
    <x v="1"/>
    <s v="Top trending tracks updated daily!"/>
    <n v="2981"/>
    <n v="258"/>
    <n v="168"/>
    <n v="20677"/>
    <n v="16.477245248343568"/>
    <n v="68290"/>
    <n v="130"/>
    <s v="#SoundtrackOfLife"/>
    <s v="ChillVibes"/>
  </r>
  <r>
    <s v="SP246"/>
    <x v="1"/>
    <d v="2024-07-08T00:00:00"/>
    <x v="1"/>
    <s v="Top trending tracks updated daily!"/>
    <n v="2981"/>
    <n v="258"/>
    <n v="168"/>
    <n v="20677"/>
    <n v="16.477245248343568"/>
    <n v="68290"/>
    <n v="130"/>
    <s v="#NowPlaying"/>
    <s v="ChillVibes"/>
  </r>
  <r>
    <s v="SP247"/>
    <x v="1"/>
    <d v="2024-09-16T00:00:00"/>
    <x v="1"/>
    <s v="Your weekend playlist is waiting."/>
    <n v="3300"/>
    <n v="354"/>
    <n v="397"/>
    <n v="56773"/>
    <n v="7.1354340971940893"/>
    <n v="72110"/>
    <n v="163"/>
    <s v="#DiscoverWeekly"/>
    <s v="ChillVibes"/>
  </r>
  <r>
    <s v="SP247"/>
    <x v="1"/>
    <d v="2024-09-16T00:00:00"/>
    <x v="1"/>
    <s v="Your weekend playlist is waiting."/>
    <n v="3300"/>
    <n v="354"/>
    <n v="397"/>
    <n v="56773"/>
    <n v="7.1354340971940893"/>
    <n v="72110"/>
    <n v="163"/>
    <s v="#MusicForEveryone"/>
    <s v="ChillVibes"/>
  </r>
  <r>
    <s v="SP248"/>
    <x v="2"/>
    <d v="2024-06-14T00:00:00"/>
    <x v="2"/>
    <s v="Wrapped is here! Relive your top tracks ðŸŽ§"/>
    <n v="4722"/>
    <n v="310"/>
    <n v="344"/>
    <n v="27911"/>
    <n v="19.261223173659133"/>
    <n v="19000"/>
    <n v="225"/>
    <s v="#DiscoverWeekly"/>
    <s v="SummerBeats"/>
  </r>
  <r>
    <s v="SP248"/>
    <x v="2"/>
    <d v="2024-06-14T00:00:00"/>
    <x v="2"/>
    <s v="Wrapped is here! Relive your top tracks ðŸŽ§"/>
    <n v="4722"/>
    <n v="310"/>
    <n v="344"/>
    <n v="27911"/>
    <n v="19.261223173659133"/>
    <n v="19000"/>
    <n v="225"/>
    <s v="#SoundtrackOfLife"/>
    <s v="SummerBeats"/>
  </r>
  <r>
    <s v="SP249"/>
    <x v="0"/>
    <d v="2024-03-06T00:00:00"/>
    <x v="0"/>
    <s v="Whatâ€™s your vibe today? #SpotifyHits"/>
    <n v="3529"/>
    <n v="263"/>
    <n v="107"/>
    <n v="26570"/>
    <n v="14.674444862627023"/>
    <n v="19367"/>
    <n v="96"/>
    <s v="#DiscoverWeekly"/>
    <s v="IndieWave"/>
  </r>
  <r>
    <s v="SP250"/>
    <x v="1"/>
    <d v="2025-05-15T00:00:00"/>
    <x v="0"/>
    <s v="Your weekend playlist is waiting."/>
    <n v="4782"/>
    <n v="210"/>
    <n v="311"/>
    <n v="29793"/>
    <n v="17.79948310005706"/>
    <n v="37543"/>
    <n v="145"/>
    <s v="#NowPlaying"/>
    <s v="ChillVibes"/>
  </r>
  <r>
    <s v="SP251"/>
    <x v="1"/>
    <d v="2024-07-07T00:00:00"/>
    <x v="0"/>
    <s v="Whatâ€™s your vibe today? #SpotifyHits"/>
    <n v="1848"/>
    <n v="417"/>
    <n v="294"/>
    <n v="57819"/>
    <n v="4.4258807658382189"/>
    <n v="19798"/>
    <n v="262"/>
    <s v="#SoundtrackOfLife"/>
    <s v="IndieWave"/>
  </r>
  <r>
    <s v="SP252"/>
    <x v="2"/>
    <d v="2024-10-26T00:00:00"/>
    <x v="0"/>
    <s v="New music just dropped. Hit play!"/>
    <n v="4676"/>
    <n v="211"/>
    <n v="55"/>
    <n v="45917"/>
    <n v="10.762898272970794"/>
    <n v="73503"/>
    <n v="248"/>
    <s v="#DiscoverWeekly"/>
    <s v="IndieWave"/>
  </r>
  <r>
    <s v="SP252"/>
    <x v="2"/>
    <d v="2024-10-26T00:00:00"/>
    <x v="0"/>
    <s v="New music just dropped. Hit play!"/>
    <n v="4676"/>
    <n v="211"/>
    <n v="55"/>
    <n v="45917"/>
    <n v="10.762898272970794"/>
    <n v="73503"/>
    <n v="248"/>
    <s v="#SpotifyWrapped"/>
    <s v="IndieWave"/>
  </r>
  <r>
    <s v="SP253"/>
    <x v="2"/>
    <d v="2024-08-08T00:00:00"/>
    <x v="0"/>
    <s v="From pop to podcasts, itâ€™s all here."/>
    <n v="1994"/>
    <n v="197"/>
    <n v="290"/>
    <n v="49500"/>
    <n v="5.0121212121212118"/>
    <n v="23343"/>
    <n v="160"/>
    <s v="#DiscoverWeekly"/>
    <s v="IndieWave"/>
  </r>
  <r>
    <s v="SP253"/>
    <x v="2"/>
    <d v="2024-08-08T00:00:00"/>
    <x v="0"/>
    <s v="From pop to podcasts, itâ€™s all here."/>
    <n v="1994"/>
    <n v="197"/>
    <n v="290"/>
    <n v="49500"/>
    <n v="5.0121212121212118"/>
    <n v="23343"/>
    <n v="160"/>
    <s v="#SpotifyWrapped"/>
    <s v="IndieWave"/>
  </r>
  <r>
    <s v="SP254"/>
    <x v="1"/>
    <d v="2025-02-03T00:00:00"/>
    <x v="0"/>
    <s v="Whatâ€™s your vibe today? #SpotifyHits"/>
    <n v="4995"/>
    <n v="231"/>
    <n v="94"/>
    <n v="34431"/>
    <n v="15.451192239551567"/>
    <n v="32560"/>
    <n v="262"/>
    <s v="#NowPlaying"/>
    <s v="ChillVibes"/>
  </r>
  <r>
    <s v="SP255"/>
    <x v="1"/>
    <d v="2024-04-03T00:00:00"/>
    <x v="1"/>
    <s v="Top trending tracks updated daily!"/>
    <n v="2291"/>
    <n v="146"/>
    <n v="399"/>
    <n v="49319"/>
    <n v="5.750319349540745"/>
    <n v="28056"/>
    <n v="90"/>
    <s v="#DiscoverWeekly"/>
    <s v="ChillVibes"/>
  </r>
  <r>
    <s v="SP255"/>
    <x v="1"/>
    <d v="2024-04-03T00:00:00"/>
    <x v="1"/>
    <s v="Top trending tracks updated daily!"/>
    <n v="2291"/>
    <n v="146"/>
    <n v="399"/>
    <n v="49319"/>
    <n v="5.750319349540745"/>
    <n v="28056"/>
    <n v="90"/>
    <s v="#MusicForEveryone"/>
    <s v="ChillVibes"/>
  </r>
  <r>
    <s v="SP256"/>
    <x v="1"/>
    <d v="2024-07-08T00:00:00"/>
    <x v="1"/>
    <s v="Wrapped is here! Relive your top tracks ðŸŽ§"/>
    <n v="2304"/>
    <n v="289"/>
    <n v="161"/>
    <n v="52645"/>
    <n v="5.2312660271630733"/>
    <n v="66262"/>
    <n v="146"/>
    <s v="#MusicForEveryone"/>
    <s v="ChillVibes"/>
  </r>
  <r>
    <s v="SP256"/>
    <x v="1"/>
    <d v="2024-07-08T00:00:00"/>
    <x v="1"/>
    <s v="Wrapped is here! Relive your top tracks ðŸŽ§"/>
    <n v="2304"/>
    <n v="289"/>
    <n v="161"/>
    <n v="52645"/>
    <n v="5.2312660271630733"/>
    <n v="66262"/>
    <n v="146"/>
    <s v="#NowPlaying"/>
    <s v="ChillVibes"/>
  </r>
  <r>
    <s v="SP257"/>
    <x v="1"/>
    <d v="2024-06-08T00:00:00"/>
    <x v="1"/>
    <s v="Top trending tracks updated daily!"/>
    <n v="3413"/>
    <n v="326"/>
    <n v="86"/>
    <n v="44680"/>
    <n v="8.5608773500447626"/>
    <n v="52719"/>
    <n v="272"/>
    <s v="#DiscoverWeekly"/>
    <s v="ChillVibes"/>
  </r>
  <r>
    <s v="SP257"/>
    <x v="1"/>
    <d v="2024-06-08T00:00:00"/>
    <x v="1"/>
    <s v="Top trending tracks updated daily!"/>
    <n v="3413"/>
    <n v="326"/>
    <n v="86"/>
    <n v="44680"/>
    <n v="8.5608773500447626"/>
    <n v="52719"/>
    <n v="272"/>
    <s v="#MusicForEveryone"/>
    <s v="ChillVibes"/>
  </r>
  <r>
    <s v="SP258"/>
    <x v="2"/>
    <d v="2025-03-20T00:00:00"/>
    <x v="2"/>
    <s v="From pop to podcasts, itâ€™s all here."/>
    <n v="1453"/>
    <n v="156"/>
    <n v="178"/>
    <n v="52980"/>
    <n v="3.3729709324273314"/>
    <n v="57180"/>
    <n v="286"/>
    <s v="#DiscoverWeekly"/>
    <s v="SummerBeats"/>
  </r>
  <r>
    <s v="SP258"/>
    <x v="2"/>
    <d v="2025-03-20T00:00:00"/>
    <x v="2"/>
    <s v="From pop to podcasts, itâ€™s all here."/>
    <n v="1453"/>
    <n v="156"/>
    <n v="178"/>
    <n v="52980"/>
    <n v="3.3729709324273314"/>
    <n v="57180"/>
    <n v="286"/>
    <s v="#SoundtrackOfLife"/>
    <s v="SummerBeats"/>
  </r>
  <r>
    <s v="SP259"/>
    <x v="1"/>
    <d v="2025-01-19T00:00:00"/>
    <x v="1"/>
    <s v="Music that moves youâ€”only on Spotify."/>
    <n v="1651"/>
    <n v="480"/>
    <n v="282"/>
    <n v="32140"/>
    <n v="7.5077784691972624"/>
    <n v="70560"/>
    <n v="138"/>
    <s v="#SoundtrackOfLife"/>
    <s v="ChillVibes"/>
  </r>
  <r>
    <s v="SP259"/>
    <x v="1"/>
    <d v="2025-01-19T00:00:00"/>
    <x v="1"/>
    <s v="Music that moves youâ€”only on Spotify."/>
    <n v="1651"/>
    <n v="480"/>
    <n v="282"/>
    <n v="32140"/>
    <n v="7.5077784691972624"/>
    <n v="70560"/>
    <n v="138"/>
    <s v="#NowPlaying"/>
    <s v="ChillVibes"/>
  </r>
  <r>
    <s v="SP260"/>
    <x v="1"/>
    <d v="2025-01-05T00:00:00"/>
    <x v="1"/>
    <s v="Explore the latest podcasts now."/>
    <n v="3341"/>
    <n v="154"/>
    <n v="123"/>
    <n v="43369"/>
    <n v="8.3423643616408025"/>
    <n v="49035"/>
    <n v="128"/>
    <s v="#MusicForEveryone"/>
    <s v="ChillVibes"/>
  </r>
  <r>
    <s v="SP260"/>
    <x v="1"/>
    <d v="2025-01-05T00:00:00"/>
    <x v="1"/>
    <s v="Explore the latest podcasts now."/>
    <n v="3341"/>
    <n v="154"/>
    <n v="123"/>
    <n v="43369"/>
    <n v="8.3423643616408025"/>
    <n v="49035"/>
    <n v="128"/>
    <s v="#NowPlaying"/>
    <s v="ChillVibes"/>
  </r>
  <r>
    <s v="SP261"/>
    <x v="1"/>
    <d v="2024-11-16T00:00:00"/>
    <x v="0"/>
    <s v="From pop to podcasts, itâ€™s all here."/>
    <n v="2972"/>
    <n v="263"/>
    <n v="308"/>
    <n v="51740"/>
    <n v="6.8477000386548124"/>
    <n v="28214"/>
    <n v="190"/>
    <s v="#SoundtrackOfLife"/>
    <s v="IndieWave"/>
  </r>
  <r>
    <s v="SP262"/>
    <x v="1"/>
    <d v="2024-11-30T00:00:00"/>
    <x v="1"/>
    <s v="Explore the latest podcasts now."/>
    <n v="4963"/>
    <n v="255"/>
    <n v="193"/>
    <n v="44386"/>
    <n v="12.190780876853061"/>
    <n v="28415"/>
    <n v="174"/>
    <s v="#MusicForEveryone"/>
    <s v="ChillVibes"/>
  </r>
  <r>
    <s v="SP262"/>
    <x v="1"/>
    <d v="2024-11-30T00:00:00"/>
    <x v="1"/>
    <s v="Explore the latest podcasts now."/>
    <n v="4963"/>
    <n v="255"/>
    <n v="193"/>
    <n v="44386"/>
    <n v="12.190780876853061"/>
    <n v="28415"/>
    <n v="174"/>
    <s v="#NowPlaying"/>
    <s v="ChillVibes"/>
  </r>
  <r>
    <s v="SP263"/>
    <x v="2"/>
    <d v="2024-03-27T00:00:00"/>
    <x v="0"/>
    <s v="Music that moves youâ€”only on Spotify."/>
    <n v="2399"/>
    <n v="191"/>
    <n v="221"/>
    <n v="51603"/>
    <n v="5.4473577117609437"/>
    <n v="40033"/>
    <n v="173"/>
    <s v="#DiscoverWeekly"/>
    <s v="IndieWave"/>
  </r>
  <r>
    <s v="SP263"/>
    <x v="2"/>
    <d v="2024-03-27T00:00:00"/>
    <x v="0"/>
    <s v="Music that moves youâ€”only on Spotify."/>
    <n v="2399"/>
    <n v="191"/>
    <n v="221"/>
    <n v="51603"/>
    <n v="5.4473577117609437"/>
    <n v="40033"/>
    <n v="173"/>
    <s v="#SpotifyWrapped"/>
    <s v="IndieWave"/>
  </r>
  <r>
    <s v="SP264"/>
    <x v="2"/>
    <d v="2025-05-31T00:00:00"/>
    <x v="2"/>
    <s v="Get into the groove with our new drop!"/>
    <n v="2162"/>
    <n v="318"/>
    <n v="83"/>
    <n v="46719"/>
    <n v="5.4859907104176031"/>
    <n v="20482"/>
    <n v="185"/>
    <s v="#DiscoverWeekly"/>
    <s v="SummerBeats"/>
  </r>
  <r>
    <s v="SP264"/>
    <x v="2"/>
    <d v="2025-05-31T00:00:00"/>
    <x v="2"/>
    <s v="Get into the groove with our new drop!"/>
    <n v="2162"/>
    <n v="318"/>
    <n v="83"/>
    <n v="46719"/>
    <n v="5.4859907104176031"/>
    <n v="20482"/>
    <n v="185"/>
    <s v="#SoundtrackOfLife"/>
    <s v="SummerBeats"/>
  </r>
  <r>
    <s v="SP265"/>
    <x v="1"/>
    <d v="2025-06-17T00:00:00"/>
    <x v="1"/>
    <s v="Explore the latest podcasts now."/>
    <n v="4341"/>
    <n v="141"/>
    <n v="63"/>
    <n v="50081"/>
    <n v="9.0752980172121163"/>
    <n v="27507"/>
    <n v="221"/>
    <s v="#DiscoverWeekly"/>
    <s v="ChillVibes"/>
  </r>
  <r>
    <s v="SP265"/>
    <x v="1"/>
    <d v="2025-06-17T00:00:00"/>
    <x v="1"/>
    <s v="Explore the latest podcasts now."/>
    <n v="4341"/>
    <n v="141"/>
    <n v="63"/>
    <n v="50081"/>
    <n v="9.0752980172121163"/>
    <n v="27507"/>
    <n v="221"/>
    <s v="#MusicForEveryone"/>
    <s v="ChillVibes"/>
  </r>
  <r>
    <s v="SP266"/>
    <x v="0"/>
    <d v="2024-05-30T00:00:00"/>
    <x v="1"/>
    <s v="Get into the groove with our new drop!"/>
    <n v="2448"/>
    <n v="464"/>
    <n v="98"/>
    <n v="25737"/>
    <n v="11.695224773672146"/>
    <n v="48545"/>
    <n v="246"/>
    <s v="#NowPlaying"/>
    <s v="Wrapped2024"/>
  </r>
  <r>
    <s v="SP267"/>
    <x v="2"/>
    <d v="2024-11-08T00:00:00"/>
    <x v="0"/>
    <s v="Top trending tracks updated daily!"/>
    <n v="2471"/>
    <n v="166"/>
    <n v="320"/>
    <n v="48254"/>
    <n v="6.127989389480665"/>
    <n v="46900"/>
    <n v="111"/>
    <s v="#DiscoverWeekly"/>
    <s v="IndieWave"/>
  </r>
  <r>
    <s v="SP267"/>
    <x v="2"/>
    <d v="2024-11-08T00:00:00"/>
    <x v="0"/>
    <s v="Top trending tracks updated daily!"/>
    <n v="2471"/>
    <n v="166"/>
    <n v="320"/>
    <n v="48254"/>
    <n v="6.127989389480665"/>
    <n v="46900"/>
    <n v="111"/>
    <s v="#SpotifyWrapped"/>
    <s v="IndieWave"/>
  </r>
  <r>
    <s v="SP268"/>
    <x v="2"/>
    <d v="2024-03-17T00:00:00"/>
    <x v="2"/>
    <s v="Explore the latest podcasts now."/>
    <n v="2692"/>
    <n v="446"/>
    <n v="216"/>
    <n v="45818"/>
    <n v="7.3202671439172375"/>
    <n v="62723"/>
    <n v="85"/>
    <s v="#DiscoverWeekly"/>
    <s v="SummerBeats"/>
  </r>
  <r>
    <s v="SP268"/>
    <x v="2"/>
    <d v="2024-03-17T00:00:00"/>
    <x v="2"/>
    <s v="Explore the latest podcasts now."/>
    <n v="2692"/>
    <n v="446"/>
    <n v="216"/>
    <n v="45818"/>
    <n v="7.3202671439172375"/>
    <n v="62723"/>
    <n v="85"/>
    <s v="#SoundtrackOfLife"/>
    <s v="SummerBeats"/>
  </r>
  <r>
    <s v="SP269"/>
    <x v="2"/>
    <d v="2024-06-21T00:00:00"/>
    <x v="2"/>
    <s v="Music that moves youâ€”only on Spotify."/>
    <n v="4621"/>
    <n v="374"/>
    <n v="298"/>
    <n v="56979"/>
    <n v="9.2893873181347502"/>
    <n v="24098"/>
    <n v="205"/>
    <s v="#DiscoverWeekly"/>
    <s v="SummerBeats"/>
  </r>
  <r>
    <s v="SP269"/>
    <x v="2"/>
    <d v="2024-06-21T00:00:00"/>
    <x v="2"/>
    <s v="Music that moves youâ€”only on Spotify."/>
    <n v="4621"/>
    <n v="374"/>
    <n v="298"/>
    <n v="56979"/>
    <n v="9.2893873181347502"/>
    <n v="24098"/>
    <n v="205"/>
    <s v="#SoundtrackOfLife"/>
    <s v="SummerBeats"/>
  </r>
  <r>
    <s v="SP270"/>
    <x v="1"/>
    <d v="2024-11-13T00:00:00"/>
    <x v="1"/>
    <s v="New music just dropped. Hit play!"/>
    <n v="1409"/>
    <n v="466"/>
    <n v="105"/>
    <n v="58923"/>
    <n v="3.3603177027646249"/>
    <n v="38753"/>
    <n v="265"/>
    <s v="#DiscoverWeekly"/>
    <s v="ChillVibes"/>
  </r>
  <r>
    <s v="SP270"/>
    <x v="1"/>
    <d v="2024-11-13T00:00:00"/>
    <x v="1"/>
    <s v="New music just dropped. Hit play!"/>
    <n v="1409"/>
    <n v="466"/>
    <n v="105"/>
    <n v="58923"/>
    <n v="3.3603177027646249"/>
    <n v="38753"/>
    <n v="265"/>
    <s v="#MusicForEveryone"/>
    <s v="ChillVibes"/>
  </r>
  <r>
    <s v="SP271"/>
    <x v="1"/>
    <d v="2025-02-05T00:00:00"/>
    <x v="1"/>
    <s v="Discover fresh beats on Spotify!"/>
    <n v="3029"/>
    <n v="440"/>
    <n v="66"/>
    <n v="23815"/>
    <n v="14.843585975225698"/>
    <n v="47895"/>
    <n v="210"/>
    <s v="#DiscoverWeekly"/>
    <s v="ChillVibes"/>
  </r>
  <r>
    <s v="SP271"/>
    <x v="1"/>
    <d v="2025-02-05T00:00:00"/>
    <x v="1"/>
    <s v="Discover fresh beats on Spotify!"/>
    <n v="3029"/>
    <n v="440"/>
    <n v="66"/>
    <n v="23815"/>
    <n v="14.843585975225698"/>
    <n v="47895"/>
    <n v="210"/>
    <s v="#MusicForEveryone"/>
    <s v="ChillVibes"/>
  </r>
  <r>
    <s v="SP272"/>
    <x v="1"/>
    <d v="2024-11-07T00:00:00"/>
    <x v="0"/>
    <s v="Explore the latest podcasts now."/>
    <n v="2229"/>
    <n v="395"/>
    <n v="328"/>
    <n v="56921"/>
    <n v="5.1861351697967359"/>
    <n v="37176"/>
    <n v="126"/>
    <s v="#SoundtrackOfLife"/>
    <s v="IndieWave"/>
  </r>
  <r>
    <s v="SP273"/>
    <x v="1"/>
    <d v="2024-02-12T00:00:00"/>
    <x v="0"/>
    <s v="Explore the latest podcasts now."/>
    <n v="2691"/>
    <n v="486"/>
    <n v="206"/>
    <n v="51133"/>
    <n v="6.6160796354604656"/>
    <n v="44583"/>
    <n v="276"/>
    <s v="#NowPlaying"/>
    <s v="ChillVibes"/>
  </r>
  <r>
    <s v="SP274"/>
    <x v="0"/>
    <d v="2024-10-08T00:00:00"/>
    <x v="0"/>
    <s v="Explore the latest podcasts now."/>
    <n v="2110"/>
    <n v="384"/>
    <n v="236"/>
    <n v="49965"/>
    <n v="5.4638246772740917"/>
    <n v="61555"/>
    <n v="195"/>
    <s v="#DiscoverWeekly"/>
    <s v="IndieWave"/>
  </r>
  <r>
    <s v="SP275"/>
    <x v="0"/>
    <d v="2024-02-19T00:00:00"/>
    <x v="0"/>
    <s v="Wrapped is here! Relive your top tracks ðŸŽ§"/>
    <n v="4752"/>
    <n v="449"/>
    <n v="309"/>
    <n v="58530"/>
    <n v="9.413975738937296"/>
    <n v="26630"/>
    <n v="234"/>
    <s v="#DiscoverWeekly"/>
    <s v="IndieWave"/>
  </r>
  <r>
    <s v="SP276"/>
    <x v="1"/>
    <d v="2025-03-04T00:00:00"/>
    <x v="0"/>
    <s v="Discover fresh beats on Spotify!"/>
    <n v="2177"/>
    <n v="258"/>
    <n v="292"/>
    <n v="47276"/>
    <n v="5.7682545054573149"/>
    <n v="51324"/>
    <n v="143"/>
    <s v="#NowPlaying"/>
    <s v="ChillVibes"/>
  </r>
  <r>
    <s v="SP277"/>
    <x v="0"/>
    <d v="2025-02-03T00:00:00"/>
    <x v="1"/>
    <s v="New music just dropped. Hit play!"/>
    <n v="1205"/>
    <n v="486"/>
    <n v="269"/>
    <n v="23341"/>
    <n v="8.3972409065592739"/>
    <n v="42411"/>
    <n v="184"/>
    <s v="#NowPlaying"/>
    <s v="Wrapped2024"/>
  </r>
  <r>
    <s v="SP278"/>
    <x v="0"/>
    <d v="2024-12-02T00:00:00"/>
    <x v="0"/>
    <s v="Top trending tracks updated daily!"/>
    <n v="3194"/>
    <n v="292"/>
    <n v="245"/>
    <n v="56371"/>
    <n v="6.6186514342481058"/>
    <n v="65597"/>
    <n v="163"/>
    <s v="#SoundtrackOfLife"/>
    <s v="ChillVibes"/>
  </r>
  <r>
    <s v="SP278"/>
    <x v="0"/>
    <d v="2024-12-02T00:00:00"/>
    <x v="0"/>
    <s v="Top trending tracks updated daily!"/>
    <n v="3194"/>
    <n v="292"/>
    <n v="245"/>
    <n v="56371"/>
    <n v="6.6186514342481058"/>
    <n v="65597"/>
    <n v="163"/>
    <s v="#NowPlaying"/>
    <s v="ChillVibes"/>
  </r>
  <r>
    <s v="SP279"/>
    <x v="1"/>
    <d v="2025-01-19T00:00:00"/>
    <x v="1"/>
    <s v="New music just dropped. Hit play!"/>
    <n v="3507"/>
    <n v="295"/>
    <n v="371"/>
    <n v="20410"/>
    <n v="20.445859872611464"/>
    <n v="53965"/>
    <n v="212"/>
    <s v="#SoundtrackOfLife"/>
    <s v="ChillVibes"/>
  </r>
  <r>
    <s v="SP279"/>
    <x v="1"/>
    <d v="2025-01-19T00:00:00"/>
    <x v="1"/>
    <s v="New music just dropped. Hit play!"/>
    <n v="3507"/>
    <n v="295"/>
    <n v="371"/>
    <n v="20410"/>
    <n v="20.445859872611464"/>
    <n v="53965"/>
    <n v="212"/>
    <s v="#NowPlaying"/>
    <s v="ChillVibes"/>
  </r>
  <r>
    <s v="SP280"/>
    <x v="1"/>
    <d v="2024-09-28T00:00:00"/>
    <x v="1"/>
    <s v="Wrapped is here! Relive your top tracks ðŸŽ§"/>
    <n v="4471"/>
    <n v="317"/>
    <n v="249"/>
    <n v="44862"/>
    <n v="11.22776514644911"/>
    <n v="33365"/>
    <n v="184"/>
    <s v="#DiscoverWeekly"/>
    <s v="ChillVibes"/>
  </r>
  <r>
    <s v="SP280"/>
    <x v="1"/>
    <d v="2024-09-28T00:00:00"/>
    <x v="1"/>
    <s v="Wrapped is here! Relive your top tracks ðŸŽ§"/>
    <n v="4471"/>
    <n v="317"/>
    <n v="249"/>
    <n v="44862"/>
    <n v="11.22776514644911"/>
    <n v="33365"/>
    <n v="184"/>
    <s v="#MusicForEveryone"/>
    <s v="ChillVibes"/>
  </r>
  <r>
    <s v="SP281"/>
    <x v="0"/>
    <d v="2024-01-07T00:00:00"/>
    <x v="0"/>
    <s v="Top trending tracks updated daily!"/>
    <n v="4931"/>
    <n v="469"/>
    <n v="193"/>
    <n v="56701"/>
    <n v="9.8640235621946708"/>
    <n v="69437"/>
    <n v="291"/>
    <s v="#SoundtrackOfLife"/>
    <s v="ChillVibes"/>
  </r>
  <r>
    <s v="SP281"/>
    <x v="0"/>
    <d v="2024-01-07T00:00:00"/>
    <x v="0"/>
    <s v="Top trending tracks updated daily!"/>
    <n v="4931"/>
    <n v="469"/>
    <n v="193"/>
    <n v="56701"/>
    <n v="9.8640235621946708"/>
    <n v="69437"/>
    <n v="291"/>
    <s v="#NowPlaying"/>
    <s v="ChillVibes"/>
  </r>
  <r>
    <s v="SP282"/>
    <x v="1"/>
    <d v="2024-02-21T00:00:00"/>
    <x v="1"/>
    <s v="Get into the groove with our new drop!"/>
    <n v="2604"/>
    <n v="439"/>
    <n v="148"/>
    <n v="58468"/>
    <n v="5.4576862557296293"/>
    <n v="39629"/>
    <n v="163"/>
    <s v="#MusicForEveryone"/>
    <s v="ChillVibes"/>
  </r>
  <r>
    <s v="SP282"/>
    <x v="1"/>
    <d v="2024-02-21T00:00:00"/>
    <x v="1"/>
    <s v="Get into the groove with our new drop!"/>
    <n v="2604"/>
    <n v="439"/>
    <n v="148"/>
    <n v="58468"/>
    <n v="5.4576862557296293"/>
    <n v="39629"/>
    <n v="163"/>
    <s v="#NowPlaying"/>
    <s v="ChillVibes"/>
  </r>
  <r>
    <s v="SP283"/>
    <x v="0"/>
    <d v="2024-08-27T00:00:00"/>
    <x v="0"/>
    <s v="Music that moves youâ€”only on Spotify."/>
    <n v="4197"/>
    <n v="359"/>
    <n v="280"/>
    <n v="56048"/>
    <n v="8.6283185840707954"/>
    <n v="70930"/>
    <n v="295"/>
    <s v="#DiscoverWeekly"/>
    <s v="IndieWave"/>
  </r>
  <r>
    <s v="SP284"/>
    <x v="0"/>
    <d v="2024-10-24T00:00:00"/>
    <x v="1"/>
    <s v="Top trending tracks updated daily!"/>
    <n v="1914"/>
    <n v="255"/>
    <n v="156"/>
    <n v="27660"/>
    <n v="8.405639913232104"/>
    <n v="47776"/>
    <n v="111"/>
    <s v="#NowPlaying"/>
    <s v="Wrapped2024"/>
  </r>
  <r>
    <s v="SP285"/>
    <x v="2"/>
    <d v="2025-01-29T00:00:00"/>
    <x v="0"/>
    <s v="New music just dropped. Hit play!"/>
    <n v="1334"/>
    <n v="357"/>
    <n v="257"/>
    <n v="56910"/>
    <n v="3.4229485151994381"/>
    <n v="70606"/>
    <n v="228"/>
    <s v="#DiscoverWeekly"/>
    <s v="IndieWave"/>
  </r>
  <r>
    <s v="SP285"/>
    <x v="2"/>
    <d v="2025-01-29T00:00:00"/>
    <x v="0"/>
    <s v="New music just dropped. Hit play!"/>
    <n v="1334"/>
    <n v="357"/>
    <n v="257"/>
    <n v="56910"/>
    <n v="3.4229485151994381"/>
    <n v="70606"/>
    <n v="228"/>
    <s v="#SpotifyWrapped"/>
    <s v="IndieWave"/>
  </r>
  <r>
    <s v="SP286"/>
    <x v="0"/>
    <d v="2024-05-01T00:00:00"/>
    <x v="0"/>
    <s v="Get into the groove with our new drop!"/>
    <n v="3359"/>
    <n v="137"/>
    <n v="387"/>
    <n v="33861"/>
    <n v="11.467469950680725"/>
    <n v="47257"/>
    <n v="198"/>
    <s v="#DiscoverWeekly"/>
    <s v="IndieWave"/>
  </r>
  <r>
    <s v="SP287"/>
    <x v="2"/>
    <d v="2024-06-25T00:00:00"/>
    <x v="0"/>
    <s v="Your weekend playlist is waiting."/>
    <n v="2172"/>
    <n v="338"/>
    <n v="70"/>
    <n v="30515"/>
    <n v="8.4548582664263474"/>
    <n v="57853"/>
    <n v="156"/>
    <s v="#DiscoverWeekly"/>
    <s v="IndieWave"/>
  </r>
  <r>
    <s v="SP287"/>
    <x v="2"/>
    <d v="2024-06-25T00:00:00"/>
    <x v="0"/>
    <s v="Your weekend playlist is waiting."/>
    <n v="2172"/>
    <n v="338"/>
    <n v="70"/>
    <n v="30515"/>
    <n v="8.4548582664263474"/>
    <n v="57853"/>
    <n v="156"/>
    <s v="#SpotifyWrapped"/>
    <s v="IndieWave"/>
  </r>
  <r>
    <s v="SP288"/>
    <x v="1"/>
    <d v="2024-08-09T00:00:00"/>
    <x v="1"/>
    <s v="From pop to podcasts, itâ€™s all here."/>
    <n v="4877"/>
    <n v="442"/>
    <n v="236"/>
    <n v="52673"/>
    <n v="10.546200140489436"/>
    <n v="48241"/>
    <n v="114"/>
    <s v="#DiscoverWeekly"/>
    <s v="ChillVibes"/>
  </r>
  <r>
    <s v="SP288"/>
    <x v="1"/>
    <d v="2024-08-09T00:00:00"/>
    <x v="1"/>
    <s v="From pop to podcasts, itâ€™s all here."/>
    <n v="4877"/>
    <n v="442"/>
    <n v="236"/>
    <n v="52673"/>
    <n v="10.546200140489436"/>
    <n v="48241"/>
    <n v="114"/>
    <s v="#MusicForEveryone"/>
    <s v="ChillVibes"/>
  </r>
  <r>
    <s v="SP289"/>
    <x v="0"/>
    <d v="2025-01-21T00:00:00"/>
    <x v="1"/>
    <s v="New music just dropped. Hit play!"/>
    <n v="4918"/>
    <n v="440"/>
    <n v="149"/>
    <n v="53269"/>
    <n v="10.338095327488784"/>
    <n v="64370"/>
    <n v="269"/>
    <s v="#NowPlaying"/>
    <s v="Wrapped2024"/>
  </r>
  <r>
    <s v="SP290"/>
    <x v="1"/>
    <d v="2024-08-13T00:00:00"/>
    <x v="0"/>
    <s v="Explore the latest podcasts now."/>
    <n v="3418"/>
    <n v="107"/>
    <n v="221"/>
    <n v="23927"/>
    <n v="15.65595352530614"/>
    <n v="26182"/>
    <n v="155"/>
    <s v="#SoundtrackOfLife"/>
    <s v="IndieWave"/>
  </r>
  <r>
    <s v="SP291"/>
    <x v="0"/>
    <d v="2024-06-29T00:00:00"/>
    <x v="0"/>
    <s v="Your weekend playlist is waiting."/>
    <n v="2088"/>
    <n v="490"/>
    <n v="124"/>
    <n v="46544"/>
    <n v="5.8052595393606046"/>
    <n v="69346"/>
    <n v="178"/>
    <s v="#SoundtrackOfLife"/>
    <s v="ChillVibes"/>
  </r>
  <r>
    <s v="SP291"/>
    <x v="0"/>
    <d v="2024-06-29T00:00:00"/>
    <x v="0"/>
    <s v="Your weekend playlist is waiting."/>
    <n v="2088"/>
    <n v="490"/>
    <n v="124"/>
    <n v="46544"/>
    <n v="5.8052595393606046"/>
    <n v="69346"/>
    <n v="178"/>
    <s v="#NowPlaying"/>
    <s v="ChillVibes"/>
  </r>
  <r>
    <s v="SP292"/>
    <x v="1"/>
    <d v="2024-11-03T00:00:00"/>
    <x v="1"/>
    <s v="Explore the latest podcasts now."/>
    <n v="3061"/>
    <n v="320"/>
    <n v="76"/>
    <n v="26640"/>
    <n v="12.976726726726726"/>
    <n v="24306"/>
    <n v="112"/>
    <s v="#MusicForEveryone"/>
    <s v="ChillVibes"/>
  </r>
  <r>
    <s v="SP292"/>
    <x v="1"/>
    <d v="2024-11-03T00:00:00"/>
    <x v="1"/>
    <s v="Explore the latest podcasts now."/>
    <n v="3061"/>
    <n v="320"/>
    <n v="76"/>
    <n v="26640"/>
    <n v="12.976726726726726"/>
    <n v="24306"/>
    <n v="112"/>
    <s v="#NowPlaying"/>
    <s v="ChillVibes"/>
  </r>
  <r>
    <s v="SP293"/>
    <x v="2"/>
    <d v="2025-04-18T00:00:00"/>
    <x v="2"/>
    <s v="Your weekend playlist is waiting."/>
    <n v="1265"/>
    <n v="230"/>
    <n v="364"/>
    <n v="41312"/>
    <n v="4.4999031758326877"/>
    <n v="50382"/>
    <n v="106"/>
    <s v="#DiscoverWeekly"/>
    <s v="SummerBeats"/>
  </r>
  <r>
    <s v="SP293"/>
    <x v="2"/>
    <d v="2025-04-18T00:00:00"/>
    <x v="2"/>
    <s v="Your weekend playlist is waiting."/>
    <n v="1265"/>
    <n v="230"/>
    <n v="364"/>
    <n v="41312"/>
    <n v="4.4999031758326877"/>
    <n v="50382"/>
    <n v="106"/>
    <s v="#SoundtrackOfLife"/>
    <s v="SummerBeats"/>
  </r>
  <r>
    <s v="SP294"/>
    <x v="0"/>
    <d v="2024-12-27T00:00:00"/>
    <x v="0"/>
    <s v="From pop to podcasts, itâ€™s all here."/>
    <n v="1436"/>
    <n v="219"/>
    <n v="229"/>
    <n v="58488"/>
    <n v="3.2211735740664751"/>
    <n v="24314"/>
    <n v="147"/>
    <s v="#DiscoverWeekly"/>
    <s v="IndieWave"/>
  </r>
  <r>
    <s v="SP295"/>
    <x v="0"/>
    <d v="2025-03-08T00:00:00"/>
    <x v="1"/>
    <s v="Top trending tracks updated daily!"/>
    <n v="2244"/>
    <n v="392"/>
    <n v="231"/>
    <n v="25834"/>
    <n v="11.097778121854921"/>
    <n v="50906"/>
    <n v="165"/>
    <s v="#NowPlaying"/>
    <s v="Wrapped2024"/>
  </r>
  <r>
    <s v="SP296"/>
    <x v="1"/>
    <d v="2025-03-20T00:00:00"/>
    <x v="1"/>
    <s v="Your weekend playlist is waiting."/>
    <n v="3393"/>
    <n v="104"/>
    <n v="79"/>
    <n v="30025"/>
    <n v="11.910074937552039"/>
    <n v="21593"/>
    <n v="165"/>
    <s v="#MusicForEveryone"/>
    <s v="ChillVibes"/>
  </r>
  <r>
    <s v="SP296"/>
    <x v="1"/>
    <d v="2025-03-20T00:00:00"/>
    <x v="1"/>
    <s v="Your weekend playlist is waiting."/>
    <n v="3393"/>
    <n v="104"/>
    <n v="79"/>
    <n v="30025"/>
    <n v="11.910074937552039"/>
    <n v="21593"/>
    <n v="165"/>
    <s v="#NowPlaying"/>
    <s v="ChillVibes"/>
  </r>
  <r>
    <s v="SP297"/>
    <x v="1"/>
    <d v="2024-11-16T00:00:00"/>
    <x v="0"/>
    <s v="Explore the latest podcasts now."/>
    <n v="2901"/>
    <n v="108"/>
    <n v="86"/>
    <n v="51777"/>
    <n v="5.9775576027966082"/>
    <n v="23773"/>
    <n v="160"/>
    <s v="#SoundtrackOfLife"/>
    <s v="IndieWave"/>
  </r>
  <r>
    <s v="SP298"/>
    <x v="1"/>
    <d v="2025-06-30T00:00:00"/>
    <x v="0"/>
    <s v="Whatâ€™s your vibe today? #SpotifyHits"/>
    <n v="2275"/>
    <n v="285"/>
    <n v="125"/>
    <n v="43970"/>
    <n v="6.1064362065044353"/>
    <n v="74761"/>
    <n v="83"/>
    <s v="#NowPlaying"/>
    <s v="ChillVibes"/>
  </r>
  <r>
    <s v="SP299"/>
    <x v="1"/>
    <d v="2024-01-12T00:00:00"/>
    <x v="1"/>
    <s v="Wrapped is here! Relive your top tracks ðŸŽ§"/>
    <n v="2227"/>
    <n v="494"/>
    <n v="161"/>
    <n v="51651"/>
    <n v="5.5797564422760448"/>
    <n v="68074"/>
    <n v="240"/>
    <s v="#DiscoverWeekly"/>
    <s v="ChillVibes"/>
  </r>
  <r>
    <s v="SP299"/>
    <x v="1"/>
    <d v="2024-01-12T00:00:00"/>
    <x v="1"/>
    <s v="Wrapped is here! Relive your top tracks ðŸŽ§"/>
    <n v="2227"/>
    <n v="494"/>
    <n v="161"/>
    <n v="51651"/>
    <n v="5.5797564422760448"/>
    <n v="68074"/>
    <n v="240"/>
    <s v="#MusicForEveryone"/>
    <s v="ChillVibes"/>
  </r>
  <r>
    <s v="SP300"/>
    <x v="0"/>
    <d v="2024-02-07T00:00:00"/>
    <x v="0"/>
    <s v="Music that moves youâ€”only on Spotify."/>
    <n v="1883"/>
    <n v="432"/>
    <n v="397"/>
    <n v="28759"/>
    <n v="9.4300914496331583"/>
    <n v="18691"/>
    <n v="270"/>
    <s v="#SoundtrackOfLife"/>
    <s v="ChillVibes"/>
  </r>
  <r>
    <s v="SP300"/>
    <x v="0"/>
    <d v="2024-02-07T00:00:00"/>
    <x v="0"/>
    <s v="Music that moves youâ€”only on Spotify."/>
    <n v="1883"/>
    <n v="432"/>
    <n v="397"/>
    <n v="28759"/>
    <n v="9.4300914496331583"/>
    <n v="18691"/>
    <n v="270"/>
    <s v="#NowPlaying"/>
    <s v="ChillVib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F6725-0C68-42E9-B642-CEFE19D71D64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D7" firstHeaderRow="1" firstDataRow="2" firstDataCol="1"/>
  <pivotFields count="14">
    <pivotField showAll="0"/>
    <pivotField axis="axisRow" showAll="0">
      <items count="4">
        <item x="0"/>
        <item x="1"/>
        <item x="2"/>
        <item t="default"/>
      </items>
    </pivotField>
    <pivotField numFmtId="22"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>
      <x v="2"/>
    </i>
  </rowItems>
  <colFields count="1">
    <field x="3"/>
  </colFields>
  <colItems count="3">
    <i>
      <x/>
    </i>
    <i>
      <x v="1"/>
    </i>
    <i>
      <x v="2"/>
    </i>
  </colItems>
  <dataFields count="1">
    <dataField name="Average of Engagement Rate" fld="9" subtotal="average" baseField="1" baseItem="0" numFmtId="2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9CB514-9CAB-4A72-A178-73E296A5CC08}" autoFormatId="16" applyNumberFormats="0" applyBorderFormats="0" applyFontFormats="0" applyPatternFormats="0" applyAlignmentFormats="0" applyWidthHeightFormats="0">
  <queryTableRefresh nextId="15">
    <queryTableFields count="10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4" dataBound="0" tableColumnId="14"/>
      <queryTableField id="12" name="Hashtags Used" tableColumnId="12"/>
    </queryTableFields>
    <queryTableDeletedFields count="4">
      <deletedField name="Post Text"/>
      <deletedField name="Reach"/>
      <deletedField name="Clicks"/>
      <deletedField name="Campaign_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80BE5A-7E3D-47A4-9AEB-5DA902A7EDE7}" name="Table1_1" displayName="Table1_1" ref="A3:J486" tableType="queryTable" totalsRowShown="0" headerRowDxfId="12" dataDxfId="11">
  <autoFilter ref="A3:J486" xr:uid="{AA4E346B-4B79-4D43-A07F-92EC4F39A82B}"/>
  <tableColumns count="10">
    <tableColumn id="1" xr3:uid="{7DF0B4F4-53DC-4A86-A9A0-0829D6296634}" uniqueName="1" name="Post ID" queryTableFieldId="1" dataDxfId="10"/>
    <tableColumn id="2" xr3:uid="{A043F5C5-D1CC-420E-A25E-6525180A0EA1}" uniqueName="2" name="Platform" queryTableFieldId="2" dataDxfId="9"/>
    <tableColumn id="3" xr3:uid="{225828F8-F19B-4C55-AC69-6A5E5CFC8A3B}" uniqueName="3" name="Date" queryTableFieldId="3" dataDxfId="8"/>
    <tableColumn id="4" xr3:uid="{98C274BE-F82A-4657-B8DE-D3B5E8F90DB8}" uniqueName="4" name="Content Type" queryTableFieldId="4" dataDxfId="7"/>
    <tableColumn id="6" xr3:uid="{27A2826C-DC9C-4772-A911-E0DE324B1988}" uniqueName="6" name="Likes" queryTableFieldId="6" dataDxfId="6"/>
    <tableColumn id="7" xr3:uid="{CC4BE7EA-7B39-4A87-9F92-8DE0AF136701}" uniqueName="7" name="Shares" queryTableFieldId="7" dataDxfId="5"/>
    <tableColumn id="8" xr3:uid="{46D3F443-7F04-4523-8CB5-B186BB776B57}" uniqueName="8" name="Comments" queryTableFieldId="8" dataDxfId="4"/>
    <tableColumn id="9" xr3:uid="{DE1E0A1E-CB65-46AF-9467-0AEBE04F3D4A}" uniqueName="9" name="Impressions" queryTableFieldId="9" dataDxfId="3"/>
    <tableColumn id="14" xr3:uid="{CC1DBC7D-7510-4843-A7D7-0D21CFA66104}" uniqueName="14" name="Engagement Rate" queryTableFieldId="14" dataDxfId="2">
      <calculatedColumnFormula>((Table1_1[[#This Row],[Likes]]+Table1_1[[#This Row],[Shares]]+Table1_1[[#This Row],[Comments]])/Table1_1[[#This Row],[Impressions]])*100</calculatedColumnFormula>
    </tableColumn>
    <tableColumn id="12" xr3:uid="{39B0B9E8-10C7-4BB7-8468-32251BAE57C6}" uniqueName="12" name="Hashtags Used" queryTableFieldId="12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7E79-0C1F-42D9-9741-4CDD677408CB}">
  <dimension ref="A1:O486"/>
  <sheetViews>
    <sheetView tabSelected="1" zoomScale="98" zoomScaleNormal="98" workbookViewId="0">
      <selection activeCell="N19" sqref="N19"/>
    </sheetView>
  </sheetViews>
  <sheetFormatPr defaultRowHeight="14.4" x14ac:dyDescent="0.3"/>
  <cols>
    <col min="1" max="1" width="12.44140625" bestFit="1" customWidth="1"/>
    <col min="2" max="2" width="13.77734375" bestFit="1" customWidth="1"/>
    <col min="3" max="3" width="16.88671875" bestFit="1" customWidth="1"/>
    <col min="4" max="4" width="18.88671875" bestFit="1" customWidth="1"/>
    <col min="5" max="5" width="10.77734375" bestFit="1" customWidth="1"/>
    <col min="6" max="6" width="12.33203125" bestFit="1" customWidth="1"/>
    <col min="7" max="7" width="13.88671875" bestFit="1" customWidth="1"/>
    <col min="8" max="8" width="15.33203125" bestFit="1" customWidth="1"/>
    <col min="9" max="9" width="17.21875" customWidth="1"/>
    <col min="10" max="10" width="20.33203125" bestFit="1" customWidth="1"/>
    <col min="13" max="13" width="17.5546875" bestFit="1" customWidth="1"/>
    <col min="14" max="14" width="25.44140625" bestFit="1" customWidth="1"/>
    <col min="15" max="15" width="22.88671875" bestFit="1" customWidth="1"/>
  </cols>
  <sheetData>
    <row r="1" spans="1:10" ht="14.4" customHeight="1" x14ac:dyDescent="0.3">
      <c r="A1" s="15" t="s">
        <v>318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4.4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321</v>
      </c>
      <c r="J3" s="1" t="s">
        <v>8</v>
      </c>
    </row>
    <row r="4" spans="1:10" x14ac:dyDescent="0.3">
      <c r="A4" s="1" t="s">
        <v>9</v>
      </c>
      <c r="B4" s="1" t="s">
        <v>10</v>
      </c>
      <c r="C4" s="2">
        <v>45781</v>
      </c>
      <c r="D4" s="1" t="s">
        <v>11</v>
      </c>
      <c r="E4" s="1">
        <v>2414</v>
      </c>
      <c r="F4" s="1">
        <v>245</v>
      </c>
      <c r="G4" s="1">
        <v>137</v>
      </c>
      <c r="H4" s="1">
        <v>21181</v>
      </c>
      <c r="I4" s="4">
        <f>((Table1_1[[#This Row],[Likes]]+Table1_1[[#This Row],[Shares]]+Table1_1[[#This Row],[Comments]])/Table1_1[[#This Row],[Impressions]])*100</f>
        <v>13.200509890939994</v>
      </c>
      <c r="J4" s="3" t="s">
        <v>27</v>
      </c>
    </row>
    <row r="5" spans="1:10" x14ac:dyDescent="0.3">
      <c r="A5" s="1" t="s">
        <v>9</v>
      </c>
      <c r="B5" s="1" t="s">
        <v>10</v>
      </c>
      <c r="C5" s="2">
        <v>45781</v>
      </c>
      <c r="D5" s="1" t="s">
        <v>11</v>
      </c>
      <c r="E5" s="1">
        <v>2414</v>
      </c>
      <c r="F5" s="1">
        <v>245</v>
      </c>
      <c r="G5" s="1">
        <v>137</v>
      </c>
      <c r="H5" s="1">
        <v>21181</v>
      </c>
      <c r="I5" s="4">
        <f>((Table1_1[[#This Row],[Likes]]+Table1_1[[#This Row],[Shares]]+Table1_1[[#This Row],[Comments]])/Table1_1[[#This Row],[Impressions]])*100</f>
        <v>13.200509890939994</v>
      </c>
      <c r="J5" s="3" t="s">
        <v>24</v>
      </c>
    </row>
    <row r="6" spans="1:10" x14ac:dyDescent="0.3">
      <c r="A6" s="1" t="s">
        <v>12</v>
      </c>
      <c r="B6" s="1" t="s">
        <v>10</v>
      </c>
      <c r="C6" s="2">
        <v>45689</v>
      </c>
      <c r="D6" s="1" t="s">
        <v>11</v>
      </c>
      <c r="E6" s="1">
        <v>1934</v>
      </c>
      <c r="F6" s="1">
        <v>210</v>
      </c>
      <c r="G6" s="1">
        <v>393</v>
      </c>
      <c r="H6" s="1">
        <v>29129</v>
      </c>
      <c r="I6" s="4">
        <f>((Table1_1[[#This Row],[Likes]]+Table1_1[[#This Row],[Shares]]+Table1_1[[#This Row],[Comments]])/Table1_1[[#This Row],[Impressions]])*100</f>
        <v>8.7095334546328402</v>
      </c>
      <c r="J6" s="3" t="s">
        <v>13</v>
      </c>
    </row>
    <row r="7" spans="1:10" x14ac:dyDescent="0.3">
      <c r="A7" s="1" t="s">
        <v>14</v>
      </c>
      <c r="B7" s="1" t="s">
        <v>15</v>
      </c>
      <c r="C7" s="2">
        <v>45629</v>
      </c>
      <c r="D7" s="1" t="s">
        <v>16</v>
      </c>
      <c r="E7" s="1">
        <v>3092</v>
      </c>
      <c r="F7" s="1">
        <v>177</v>
      </c>
      <c r="G7" s="1">
        <v>81</v>
      </c>
      <c r="H7" s="1">
        <v>47533</v>
      </c>
      <c r="I7" s="4">
        <f>((Table1_1[[#This Row],[Likes]]+Table1_1[[#This Row],[Shares]]+Table1_1[[#This Row],[Comments]])/Table1_1[[#This Row],[Impressions]])*100</f>
        <v>7.0477352576105021</v>
      </c>
      <c r="J7" s="3" t="s">
        <v>319</v>
      </c>
    </row>
    <row r="8" spans="1:10" x14ac:dyDescent="0.3">
      <c r="A8" s="1" t="s">
        <v>14</v>
      </c>
      <c r="B8" s="1" t="s">
        <v>15</v>
      </c>
      <c r="C8" s="2">
        <v>45629</v>
      </c>
      <c r="D8" s="1" t="s">
        <v>16</v>
      </c>
      <c r="E8" s="1">
        <v>3092</v>
      </c>
      <c r="F8" s="1">
        <v>177</v>
      </c>
      <c r="G8" s="1">
        <v>81</v>
      </c>
      <c r="H8" s="1">
        <v>47533</v>
      </c>
      <c r="I8" s="4">
        <f>((Table1_1[[#This Row],[Likes]]+Table1_1[[#This Row],[Shares]]+Table1_1[[#This Row],[Comments]])/Table1_1[[#This Row],[Impressions]])*100</f>
        <v>7.0477352576105021</v>
      </c>
      <c r="J8" s="3" t="s">
        <v>24</v>
      </c>
    </row>
    <row r="9" spans="1:10" x14ac:dyDescent="0.3">
      <c r="A9" s="1" t="s">
        <v>17</v>
      </c>
      <c r="B9" s="1" t="s">
        <v>10</v>
      </c>
      <c r="C9" s="2">
        <v>45629</v>
      </c>
      <c r="D9" s="1" t="s">
        <v>11</v>
      </c>
      <c r="E9" s="1">
        <v>3173</v>
      </c>
      <c r="F9" s="1">
        <v>229</v>
      </c>
      <c r="G9" s="1">
        <v>197</v>
      </c>
      <c r="H9" s="1">
        <v>29604</v>
      </c>
      <c r="I9" s="4">
        <f>((Table1_1[[#This Row],[Likes]]+Table1_1[[#This Row],[Shares]]+Table1_1[[#This Row],[Comments]])/Table1_1[[#This Row],[Impressions]])*100</f>
        <v>12.15714092690177</v>
      </c>
      <c r="J9" s="3" t="s">
        <v>27</v>
      </c>
    </row>
    <row r="10" spans="1:10" x14ac:dyDescent="0.3">
      <c r="A10" s="1" t="s">
        <v>17</v>
      </c>
      <c r="B10" s="1" t="s">
        <v>10</v>
      </c>
      <c r="C10" s="2">
        <v>45629</v>
      </c>
      <c r="D10" s="1" t="s">
        <v>11</v>
      </c>
      <c r="E10" s="1">
        <v>3173</v>
      </c>
      <c r="F10" s="1">
        <v>229</v>
      </c>
      <c r="G10" s="1">
        <v>197</v>
      </c>
      <c r="H10" s="1">
        <v>29604</v>
      </c>
      <c r="I10" s="4">
        <f>((Table1_1[[#This Row],[Likes]]+Table1_1[[#This Row],[Shares]]+Table1_1[[#This Row],[Comments]])/Table1_1[[#This Row],[Impressions]])*100</f>
        <v>12.15714092690177</v>
      </c>
      <c r="J10" s="3" t="s">
        <v>24</v>
      </c>
    </row>
    <row r="11" spans="1:10" x14ac:dyDescent="0.3">
      <c r="A11" s="1" t="s">
        <v>18</v>
      </c>
      <c r="B11" s="1" t="s">
        <v>19</v>
      </c>
      <c r="C11" s="2">
        <v>45388</v>
      </c>
      <c r="D11" s="1" t="s">
        <v>11</v>
      </c>
      <c r="E11" s="1">
        <v>2748</v>
      </c>
      <c r="F11" s="1">
        <v>145</v>
      </c>
      <c r="G11" s="1">
        <v>315</v>
      </c>
      <c r="H11" s="1">
        <v>24401</v>
      </c>
      <c r="I11" s="4">
        <f>((Table1_1[[#This Row],[Likes]]+Table1_1[[#This Row],[Shares]]+Table1_1[[#This Row],[Comments]])/Table1_1[[#This Row],[Impressions]])*100</f>
        <v>13.14700217204213</v>
      </c>
      <c r="J11" s="3" t="s">
        <v>13</v>
      </c>
    </row>
    <row r="12" spans="1:10" x14ac:dyDescent="0.3">
      <c r="A12" s="1" t="s">
        <v>18</v>
      </c>
      <c r="B12" s="1" t="s">
        <v>19</v>
      </c>
      <c r="C12" s="2">
        <v>45388</v>
      </c>
      <c r="D12" s="1" t="s">
        <v>11</v>
      </c>
      <c r="E12" s="1">
        <v>2748</v>
      </c>
      <c r="F12" s="1">
        <v>145</v>
      </c>
      <c r="G12" s="1">
        <v>315</v>
      </c>
      <c r="H12" s="1">
        <v>24401</v>
      </c>
      <c r="I12" s="4">
        <f>((Table1_1[[#This Row],[Likes]]+Table1_1[[#This Row],[Shares]]+Table1_1[[#This Row],[Comments]])/Table1_1[[#This Row],[Impressions]])*100</f>
        <v>13.14700217204213</v>
      </c>
      <c r="J12" s="3" t="s">
        <v>320</v>
      </c>
    </row>
    <row r="13" spans="1:10" x14ac:dyDescent="0.3">
      <c r="A13" s="1" t="s">
        <v>20</v>
      </c>
      <c r="B13" s="1" t="s">
        <v>19</v>
      </c>
      <c r="C13" s="2">
        <v>45456</v>
      </c>
      <c r="D13" s="1" t="s">
        <v>11</v>
      </c>
      <c r="E13" s="1">
        <v>3882</v>
      </c>
      <c r="F13" s="1">
        <v>239</v>
      </c>
      <c r="G13" s="1">
        <v>275</v>
      </c>
      <c r="H13" s="1">
        <v>58748</v>
      </c>
      <c r="I13" s="4">
        <f>((Table1_1[[#This Row],[Likes]]+Table1_1[[#This Row],[Shares]]+Table1_1[[#This Row],[Comments]])/Table1_1[[#This Row],[Impressions]])*100</f>
        <v>7.4828079253761839</v>
      </c>
      <c r="J13" s="3" t="s">
        <v>13</v>
      </c>
    </row>
    <row r="14" spans="1:10" x14ac:dyDescent="0.3">
      <c r="A14" s="1" t="s">
        <v>20</v>
      </c>
      <c r="B14" s="1" t="s">
        <v>19</v>
      </c>
      <c r="C14" s="2">
        <v>45456</v>
      </c>
      <c r="D14" s="1" t="s">
        <v>11</v>
      </c>
      <c r="E14" s="1">
        <v>3882</v>
      </c>
      <c r="F14" s="1">
        <v>239</v>
      </c>
      <c r="G14" s="1">
        <v>275</v>
      </c>
      <c r="H14" s="1">
        <v>58748</v>
      </c>
      <c r="I14" s="4">
        <f>((Table1_1[[#This Row],[Likes]]+Table1_1[[#This Row],[Shares]]+Table1_1[[#This Row],[Comments]])/Table1_1[[#This Row],[Impressions]])*100</f>
        <v>7.4828079253761839</v>
      </c>
      <c r="J14" s="3" t="s">
        <v>320</v>
      </c>
    </row>
    <row r="15" spans="1:10" x14ac:dyDescent="0.3">
      <c r="A15" s="1" t="s">
        <v>21</v>
      </c>
      <c r="B15" s="1" t="s">
        <v>15</v>
      </c>
      <c r="C15" s="2">
        <v>45645</v>
      </c>
      <c r="D15" s="1" t="s">
        <v>16</v>
      </c>
      <c r="E15" s="1">
        <v>4674</v>
      </c>
      <c r="F15" s="1">
        <v>409</v>
      </c>
      <c r="G15" s="1">
        <v>327</v>
      </c>
      <c r="H15" s="1">
        <v>20756</v>
      </c>
      <c r="I15" s="4">
        <f>((Table1_1[[#This Row],[Likes]]+Table1_1[[#This Row],[Shares]]+Table1_1[[#This Row],[Comments]])/Table1_1[[#This Row],[Impressions]])*100</f>
        <v>26.064752360763155</v>
      </c>
      <c r="J15" s="3" t="s">
        <v>27</v>
      </c>
    </row>
    <row r="16" spans="1:10" x14ac:dyDescent="0.3">
      <c r="A16" s="1" t="s">
        <v>21</v>
      </c>
      <c r="B16" s="1" t="s">
        <v>15</v>
      </c>
      <c r="C16" s="2">
        <v>45645</v>
      </c>
      <c r="D16" s="1" t="s">
        <v>16</v>
      </c>
      <c r="E16" s="1">
        <v>4674</v>
      </c>
      <c r="F16" s="1">
        <v>409</v>
      </c>
      <c r="G16" s="1">
        <v>327</v>
      </c>
      <c r="H16" s="1">
        <v>20756</v>
      </c>
      <c r="I16" s="4">
        <f>((Table1_1[[#This Row],[Likes]]+Table1_1[[#This Row],[Shares]]+Table1_1[[#This Row],[Comments]])/Table1_1[[#This Row],[Impressions]])*100</f>
        <v>26.064752360763155</v>
      </c>
      <c r="J16" s="3" t="s">
        <v>24</v>
      </c>
    </row>
    <row r="17" spans="1:15" x14ac:dyDescent="0.3">
      <c r="A17" s="1" t="s">
        <v>22</v>
      </c>
      <c r="B17" s="1" t="s">
        <v>15</v>
      </c>
      <c r="C17" s="2">
        <v>45421</v>
      </c>
      <c r="D17" s="1" t="s">
        <v>16</v>
      </c>
      <c r="E17" s="1">
        <v>1428</v>
      </c>
      <c r="F17" s="1">
        <v>347</v>
      </c>
      <c r="G17" s="1">
        <v>67</v>
      </c>
      <c r="H17" s="1">
        <v>21148</v>
      </c>
      <c r="I17" s="4">
        <f>((Table1_1[[#This Row],[Likes]]+Table1_1[[#This Row],[Shares]]+Table1_1[[#This Row],[Comments]])/Table1_1[[#This Row],[Impressions]])*100</f>
        <v>8.7100435029317183</v>
      </c>
      <c r="J17" s="3" t="s">
        <v>13</v>
      </c>
      <c r="M17" s="6" t="s">
        <v>8</v>
      </c>
      <c r="N17" s="6" t="s">
        <v>322</v>
      </c>
      <c r="O17" s="6" t="s">
        <v>323</v>
      </c>
    </row>
    <row r="18" spans="1:15" x14ac:dyDescent="0.3">
      <c r="A18" s="1" t="s">
        <v>22</v>
      </c>
      <c r="B18" s="1" t="s">
        <v>15</v>
      </c>
      <c r="C18" s="2">
        <v>45421</v>
      </c>
      <c r="D18" s="1" t="s">
        <v>16</v>
      </c>
      <c r="E18" s="1">
        <v>1428</v>
      </c>
      <c r="F18" s="1">
        <v>347</v>
      </c>
      <c r="G18" s="1">
        <v>67</v>
      </c>
      <c r="H18" s="1">
        <v>21148</v>
      </c>
      <c r="I18" s="4">
        <f>((Table1_1[[#This Row],[Likes]]+Table1_1[[#This Row],[Shares]]+Table1_1[[#This Row],[Comments]])/Table1_1[[#This Row],[Impressions]])*100</f>
        <v>8.7100435029317183</v>
      </c>
      <c r="J18" s="3" t="s">
        <v>319</v>
      </c>
      <c r="M18" s="7" t="str" cm="1">
        <f t="array" ref="M18:M22">_xlfn.UNIQUE(Table1_1[Hashtags Used])</f>
        <v>#SoundtrackOfLife</v>
      </c>
      <c r="N18" s="7">
        <f>COUNTIF(Table1_1[Hashtags Used],M18)</f>
        <v>109</v>
      </c>
      <c r="O18" s="8">
        <f>AVERAGEIF(Table1_1[Hashtags Used],M18,Table1_1[Engagement Rate])</f>
        <v>9.4448669905002571</v>
      </c>
    </row>
    <row r="19" spans="1:15" x14ac:dyDescent="0.3">
      <c r="A19" s="1" t="s">
        <v>23</v>
      </c>
      <c r="B19" s="1" t="s">
        <v>15</v>
      </c>
      <c r="C19" s="2">
        <v>45823</v>
      </c>
      <c r="D19" s="1" t="s">
        <v>11</v>
      </c>
      <c r="E19" s="1">
        <v>4432</v>
      </c>
      <c r="F19" s="1">
        <v>223</v>
      </c>
      <c r="G19" s="1">
        <v>299</v>
      </c>
      <c r="H19" s="1">
        <v>59016</v>
      </c>
      <c r="I19" s="4">
        <f>((Table1_1[[#This Row],[Likes]]+Table1_1[[#This Row],[Shares]]+Table1_1[[#This Row],[Comments]])/Table1_1[[#This Row],[Impressions]])*100</f>
        <v>8.3943337400027112</v>
      </c>
      <c r="J19" s="3" t="s">
        <v>24</v>
      </c>
      <c r="M19" s="9" t="str">
        <v>#NowPlaying</v>
      </c>
      <c r="N19" s="9">
        <f>COUNTIF(Table1_1[Hashtags Used],M19)</f>
        <v>143</v>
      </c>
      <c r="O19" s="10">
        <f>AVERAGEIF(Table1_1[Hashtags Used],M19,Table1_1[Engagement Rate])</f>
        <v>9.8567431094720508</v>
      </c>
    </row>
    <row r="20" spans="1:15" x14ac:dyDescent="0.3">
      <c r="A20" s="1" t="s">
        <v>25</v>
      </c>
      <c r="B20" s="1" t="s">
        <v>15</v>
      </c>
      <c r="C20" s="2">
        <v>45630</v>
      </c>
      <c r="D20" s="1" t="s">
        <v>11</v>
      </c>
      <c r="E20" s="1">
        <v>2357</v>
      </c>
      <c r="F20" s="1">
        <v>274</v>
      </c>
      <c r="G20" s="1">
        <v>172</v>
      </c>
      <c r="H20" s="1">
        <v>21566</v>
      </c>
      <c r="I20" s="4">
        <f>((Table1_1[[#This Row],[Likes]]+Table1_1[[#This Row],[Shares]]+Table1_1[[#This Row],[Comments]])/Table1_1[[#This Row],[Impressions]])*100</f>
        <v>12.997310581470833</v>
      </c>
      <c r="J20" s="3" t="s">
        <v>24</v>
      </c>
      <c r="M20" s="16" t="str">
        <v>#DiscoverWeekly</v>
      </c>
      <c r="N20" s="16">
        <f>COUNTIF(Table1_1[Hashtags Used],M20)</f>
        <v>130</v>
      </c>
      <c r="O20" s="17">
        <f>AVERAGEIF(Table1_1[Hashtags Used],M20,Table1_1[Engagement Rate])</f>
        <v>8.7606633451228788</v>
      </c>
    </row>
    <row r="21" spans="1:15" x14ac:dyDescent="0.3">
      <c r="A21" s="1" t="s">
        <v>26</v>
      </c>
      <c r="B21" s="1" t="s">
        <v>15</v>
      </c>
      <c r="C21" s="2">
        <v>45357</v>
      </c>
      <c r="D21" s="1" t="s">
        <v>11</v>
      </c>
      <c r="E21" s="1">
        <v>1971</v>
      </c>
      <c r="F21" s="1">
        <v>370</v>
      </c>
      <c r="G21" s="1">
        <v>306</v>
      </c>
      <c r="H21" s="1">
        <v>31316</v>
      </c>
      <c r="I21" s="4">
        <f>((Table1_1[[#This Row],[Likes]]+Table1_1[[#This Row],[Shares]]+Table1_1[[#This Row],[Comments]])/Table1_1[[#This Row],[Impressions]])*100</f>
        <v>8.4525482181632388</v>
      </c>
      <c r="J21" s="3" t="s">
        <v>27</v>
      </c>
      <c r="M21" s="7" t="str">
        <v>#MusicForEveryone</v>
      </c>
      <c r="N21" s="7">
        <f>COUNTIF(Table1_1[Hashtags Used],M21)</f>
        <v>67</v>
      </c>
      <c r="O21" s="8">
        <f>AVERAGEIF(Table1_1[Hashtags Used],M21,Table1_1[Engagement Rate])</f>
        <v>8.9057449367429236</v>
      </c>
    </row>
    <row r="22" spans="1:15" x14ac:dyDescent="0.3">
      <c r="A22" s="1" t="s">
        <v>28</v>
      </c>
      <c r="B22" s="1" t="s">
        <v>10</v>
      </c>
      <c r="C22" s="2">
        <v>45426</v>
      </c>
      <c r="D22" s="1" t="s">
        <v>11</v>
      </c>
      <c r="E22" s="1">
        <v>1485</v>
      </c>
      <c r="F22" s="1">
        <v>353</v>
      </c>
      <c r="G22" s="1">
        <v>244</v>
      </c>
      <c r="H22" s="1">
        <v>38419</v>
      </c>
      <c r="I22" s="4">
        <f>((Table1_1[[#This Row],[Likes]]+Table1_1[[#This Row],[Shares]]+Table1_1[[#This Row],[Comments]])/Table1_1[[#This Row],[Impressions]])*100</f>
        <v>5.4191936281527369</v>
      </c>
      <c r="J22" s="3" t="s">
        <v>27</v>
      </c>
      <c r="M22" s="7" t="str">
        <v>#SpotifyWrapped</v>
      </c>
      <c r="N22" s="7">
        <f>COUNTIF(Table1_1[Hashtags Used],M22)</f>
        <v>34</v>
      </c>
      <c r="O22" s="8">
        <f>AVERAGEIF(Table1_1[Hashtags Used],M22,Table1_1[Engagement Rate])</f>
        <v>8.6403291293675721</v>
      </c>
    </row>
    <row r="23" spans="1:15" x14ac:dyDescent="0.3">
      <c r="A23" s="1" t="s">
        <v>28</v>
      </c>
      <c r="B23" s="1" t="s">
        <v>10</v>
      </c>
      <c r="C23" s="2">
        <v>45426</v>
      </c>
      <c r="D23" s="1" t="s">
        <v>11</v>
      </c>
      <c r="E23" s="1">
        <v>1485</v>
      </c>
      <c r="F23" s="1">
        <v>353</v>
      </c>
      <c r="G23" s="1">
        <v>244</v>
      </c>
      <c r="H23" s="1">
        <v>38419</v>
      </c>
      <c r="I23" s="4">
        <f>((Table1_1[[#This Row],[Likes]]+Table1_1[[#This Row],[Shares]]+Table1_1[[#This Row],[Comments]])/Table1_1[[#This Row],[Impressions]])*100</f>
        <v>5.4191936281527369</v>
      </c>
      <c r="J23" s="3" t="s">
        <v>24</v>
      </c>
    </row>
    <row r="24" spans="1:15" x14ac:dyDescent="0.3">
      <c r="A24" s="1" t="s">
        <v>29</v>
      </c>
      <c r="B24" s="1" t="s">
        <v>15</v>
      </c>
      <c r="C24" s="2">
        <v>45826</v>
      </c>
      <c r="D24" s="1" t="s">
        <v>16</v>
      </c>
      <c r="E24" s="1">
        <v>3956</v>
      </c>
      <c r="F24" s="1">
        <v>319</v>
      </c>
      <c r="G24" s="1">
        <v>61</v>
      </c>
      <c r="H24" s="1">
        <v>58162</v>
      </c>
      <c r="I24" s="4">
        <f>((Table1_1[[#This Row],[Likes]]+Table1_1[[#This Row],[Shares]]+Table1_1[[#This Row],[Comments]])/Table1_1[[#This Row],[Impressions]])*100</f>
        <v>7.4550393727863558</v>
      </c>
      <c r="J24" s="3" t="s">
        <v>319</v>
      </c>
    </row>
    <row r="25" spans="1:15" x14ac:dyDescent="0.3">
      <c r="A25" s="1" t="s">
        <v>29</v>
      </c>
      <c r="B25" s="1" t="s">
        <v>15</v>
      </c>
      <c r="C25" s="2">
        <v>45826</v>
      </c>
      <c r="D25" s="1" t="s">
        <v>16</v>
      </c>
      <c r="E25" s="1">
        <v>3956</v>
      </c>
      <c r="F25" s="1">
        <v>319</v>
      </c>
      <c r="G25" s="1">
        <v>61</v>
      </c>
      <c r="H25" s="1">
        <v>58162</v>
      </c>
      <c r="I25" s="4">
        <f>((Table1_1[[#This Row],[Likes]]+Table1_1[[#This Row],[Shares]]+Table1_1[[#This Row],[Comments]])/Table1_1[[#This Row],[Impressions]])*100</f>
        <v>7.4550393727863558</v>
      </c>
      <c r="J25" s="3" t="s">
        <v>24</v>
      </c>
    </row>
    <row r="26" spans="1:15" x14ac:dyDescent="0.3">
      <c r="A26" s="1" t="s">
        <v>30</v>
      </c>
      <c r="B26" s="1" t="s">
        <v>15</v>
      </c>
      <c r="C26" s="2">
        <v>45573</v>
      </c>
      <c r="D26" s="1" t="s">
        <v>11</v>
      </c>
      <c r="E26" s="1">
        <v>2460</v>
      </c>
      <c r="F26" s="1">
        <v>409</v>
      </c>
      <c r="G26" s="1">
        <v>253</v>
      </c>
      <c r="H26" s="1">
        <v>36702</v>
      </c>
      <c r="I26" s="4">
        <f>((Table1_1[[#This Row],[Likes]]+Table1_1[[#This Row],[Shares]]+Table1_1[[#This Row],[Comments]])/Table1_1[[#This Row],[Impressions]])*100</f>
        <v>8.5063484278785886</v>
      </c>
      <c r="J26" s="3" t="s">
        <v>24</v>
      </c>
    </row>
    <row r="27" spans="1:15" x14ac:dyDescent="0.3">
      <c r="A27" s="1" t="s">
        <v>31</v>
      </c>
      <c r="B27" s="1" t="s">
        <v>15</v>
      </c>
      <c r="C27" s="2">
        <v>45418</v>
      </c>
      <c r="D27" s="1" t="s">
        <v>11</v>
      </c>
      <c r="E27" s="1">
        <v>3476</v>
      </c>
      <c r="F27" s="1">
        <v>355</v>
      </c>
      <c r="G27" s="1">
        <v>396</v>
      </c>
      <c r="H27" s="1">
        <v>37492</v>
      </c>
      <c r="I27" s="4">
        <f>((Table1_1[[#This Row],[Likes]]+Table1_1[[#This Row],[Shares]]+Table1_1[[#This Row],[Comments]])/Table1_1[[#This Row],[Impressions]])*100</f>
        <v>11.27440520644404</v>
      </c>
      <c r="J27" s="3" t="s">
        <v>24</v>
      </c>
    </row>
    <row r="28" spans="1:15" x14ac:dyDescent="0.3">
      <c r="A28" s="1" t="s">
        <v>32</v>
      </c>
      <c r="B28" s="1" t="s">
        <v>15</v>
      </c>
      <c r="C28" s="2">
        <v>45655</v>
      </c>
      <c r="D28" s="1" t="s">
        <v>16</v>
      </c>
      <c r="E28" s="1">
        <v>4049</v>
      </c>
      <c r="F28" s="1">
        <v>377</v>
      </c>
      <c r="G28" s="1">
        <v>94</v>
      </c>
      <c r="H28" s="1">
        <v>48182</v>
      </c>
      <c r="I28" s="4">
        <f>((Table1_1[[#This Row],[Likes]]+Table1_1[[#This Row],[Shares]]+Table1_1[[#This Row],[Comments]])/Table1_1[[#This Row],[Impressions]])*100</f>
        <v>9.3810966751068872</v>
      </c>
      <c r="J28" s="3" t="s">
        <v>319</v>
      </c>
    </row>
    <row r="29" spans="1:15" x14ac:dyDescent="0.3">
      <c r="A29" s="1" t="s">
        <v>32</v>
      </c>
      <c r="B29" s="1" t="s">
        <v>15</v>
      </c>
      <c r="C29" s="2">
        <v>45655</v>
      </c>
      <c r="D29" s="1" t="s">
        <v>16</v>
      </c>
      <c r="E29" s="1">
        <v>4049</v>
      </c>
      <c r="F29" s="1">
        <v>377</v>
      </c>
      <c r="G29" s="1">
        <v>94</v>
      </c>
      <c r="H29" s="1">
        <v>48182</v>
      </c>
      <c r="I29" s="4">
        <f>((Table1_1[[#This Row],[Likes]]+Table1_1[[#This Row],[Shares]]+Table1_1[[#This Row],[Comments]])/Table1_1[[#This Row],[Impressions]])*100</f>
        <v>9.3810966751068872</v>
      </c>
      <c r="J29" s="3" t="s">
        <v>24</v>
      </c>
    </row>
    <row r="30" spans="1:15" x14ac:dyDescent="0.3">
      <c r="A30" s="1" t="s">
        <v>33</v>
      </c>
      <c r="B30" s="1" t="s">
        <v>15</v>
      </c>
      <c r="C30" s="2">
        <v>45453</v>
      </c>
      <c r="D30" s="1" t="s">
        <v>11</v>
      </c>
      <c r="E30" s="1">
        <v>1514</v>
      </c>
      <c r="F30" s="1">
        <v>164</v>
      </c>
      <c r="G30" s="1">
        <v>275</v>
      </c>
      <c r="H30" s="1">
        <v>41364</v>
      </c>
      <c r="I30" s="4">
        <f>((Table1_1[[#This Row],[Likes]]+Table1_1[[#This Row],[Shares]]+Table1_1[[#This Row],[Comments]])/Table1_1[[#This Row],[Impressions]])*100</f>
        <v>4.7214969538729328</v>
      </c>
      <c r="J30" s="3" t="s">
        <v>24</v>
      </c>
    </row>
    <row r="31" spans="1:15" x14ac:dyDescent="0.3">
      <c r="A31" s="1" t="s">
        <v>34</v>
      </c>
      <c r="B31" s="1" t="s">
        <v>10</v>
      </c>
      <c r="C31" s="2">
        <v>45325</v>
      </c>
      <c r="D31" s="1" t="s">
        <v>16</v>
      </c>
      <c r="E31" s="1">
        <v>4281</v>
      </c>
      <c r="F31" s="1">
        <v>101</v>
      </c>
      <c r="G31" s="1">
        <v>163</v>
      </c>
      <c r="H31" s="1">
        <v>32278</v>
      </c>
      <c r="I31" s="4">
        <f>((Table1_1[[#This Row],[Likes]]+Table1_1[[#This Row],[Shares]]+Table1_1[[#This Row],[Comments]])/Table1_1[[#This Row],[Impressions]])*100</f>
        <v>14.080798066794721</v>
      </c>
      <c r="J31" s="3" t="s">
        <v>24</v>
      </c>
    </row>
    <row r="32" spans="1:15" x14ac:dyDescent="0.3">
      <c r="A32" s="1" t="s">
        <v>35</v>
      </c>
      <c r="B32" s="1" t="s">
        <v>19</v>
      </c>
      <c r="C32" s="2">
        <v>45458</v>
      </c>
      <c r="D32" s="1" t="s">
        <v>36</v>
      </c>
      <c r="E32" s="1">
        <v>1751</v>
      </c>
      <c r="F32" s="1">
        <v>143</v>
      </c>
      <c r="G32" s="1">
        <v>151</v>
      </c>
      <c r="H32" s="1">
        <v>31826</v>
      </c>
      <c r="I32" s="4">
        <f>((Table1_1[[#This Row],[Likes]]+Table1_1[[#This Row],[Shares]]+Table1_1[[#This Row],[Comments]])/Table1_1[[#This Row],[Impressions]])*100</f>
        <v>6.4255640042732365</v>
      </c>
      <c r="J32" s="3" t="s">
        <v>13</v>
      </c>
    </row>
    <row r="33" spans="1:10" x14ac:dyDescent="0.3">
      <c r="A33" s="1" t="s">
        <v>35</v>
      </c>
      <c r="B33" s="1" t="s">
        <v>19</v>
      </c>
      <c r="C33" s="2">
        <v>45458</v>
      </c>
      <c r="D33" s="1" t="s">
        <v>36</v>
      </c>
      <c r="E33" s="1">
        <v>1751</v>
      </c>
      <c r="F33" s="1">
        <v>143</v>
      </c>
      <c r="G33" s="1">
        <v>151</v>
      </c>
      <c r="H33" s="1">
        <v>31826</v>
      </c>
      <c r="I33" s="4">
        <f>((Table1_1[[#This Row],[Likes]]+Table1_1[[#This Row],[Shares]]+Table1_1[[#This Row],[Comments]])/Table1_1[[#This Row],[Impressions]])*100</f>
        <v>6.4255640042732365</v>
      </c>
      <c r="J33" s="3" t="s">
        <v>27</v>
      </c>
    </row>
    <row r="34" spans="1:10" x14ac:dyDescent="0.3">
      <c r="A34" s="1" t="s">
        <v>37</v>
      </c>
      <c r="B34" s="1" t="s">
        <v>10</v>
      </c>
      <c r="C34" s="2">
        <v>45478</v>
      </c>
      <c r="D34" s="1" t="s">
        <v>11</v>
      </c>
      <c r="E34" s="1">
        <v>3753</v>
      </c>
      <c r="F34" s="1">
        <v>411</v>
      </c>
      <c r="G34" s="1">
        <v>308</v>
      </c>
      <c r="H34" s="1">
        <v>29138</v>
      </c>
      <c r="I34" s="4">
        <f>((Table1_1[[#This Row],[Likes]]+Table1_1[[#This Row],[Shares]]+Table1_1[[#This Row],[Comments]])/Table1_1[[#This Row],[Impressions]])*100</f>
        <v>15.347655981879333</v>
      </c>
      <c r="J34" s="3" t="s">
        <v>13</v>
      </c>
    </row>
    <row r="35" spans="1:10" x14ac:dyDescent="0.3">
      <c r="A35" s="1" t="s">
        <v>38</v>
      </c>
      <c r="B35" s="1" t="s">
        <v>10</v>
      </c>
      <c r="C35" s="2">
        <v>45603</v>
      </c>
      <c r="D35" s="1" t="s">
        <v>16</v>
      </c>
      <c r="E35" s="1">
        <v>1678</v>
      </c>
      <c r="F35" s="1">
        <v>423</v>
      </c>
      <c r="G35" s="1">
        <v>323</v>
      </c>
      <c r="H35" s="1">
        <v>55668</v>
      </c>
      <c r="I35" s="4">
        <f>((Table1_1[[#This Row],[Likes]]+Table1_1[[#This Row],[Shares]]+Table1_1[[#This Row],[Comments]])/Table1_1[[#This Row],[Impressions]])*100</f>
        <v>4.3543867212761374</v>
      </c>
      <c r="J35" s="3" t="s">
        <v>24</v>
      </c>
    </row>
    <row r="36" spans="1:10" x14ac:dyDescent="0.3">
      <c r="A36" s="1" t="s">
        <v>39</v>
      </c>
      <c r="B36" s="1" t="s">
        <v>10</v>
      </c>
      <c r="C36" s="2">
        <v>45823</v>
      </c>
      <c r="D36" s="1" t="s">
        <v>11</v>
      </c>
      <c r="E36" s="1">
        <v>4896</v>
      </c>
      <c r="F36" s="1">
        <v>466</v>
      </c>
      <c r="G36" s="1">
        <v>233</v>
      </c>
      <c r="H36" s="1">
        <v>28621</v>
      </c>
      <c r="I36" s="4">
        <f>((Table1_1[[#This Row],[Likes]]+Table1_1[[#This Row],[Shares]]+Table1_1[[#This Row],[Comments]])/Table1_1[[#This Row],[Impressions]])*100</f>
        <v>19.548583208133888</v>
      </c>
      <c r="J36" s="3" t="s">
        <v>27</v>
      </c>
    </row>
    <row r="37" spans="1:10" x14ac:dyDescent="0.3">
      <c r="A37" s="1" t="s">
        <v>39</v>
      </c>
      <c r="B37" s="1" t="s">
        <v>10</v>
      </c>
      <c r="C37" s="2">
        <v>45823</v>
      </c>
      <c r="D37" s="1" t="s">
        <v>11</v>
      </c>
      <c r="E37" s="1">
        <v>4896</v>
      </c>
      <c r="F37" s="1">
        <v>466</v>
      </c>
      <c r="G37" s="1">
        <v>233</v>
      </c>
      <c r="H37" s="1">
        <v>28621</v>
      </c>
      <c r="I37" s="4">
        <f>((Table1_1[[#This Row],[Likes]]+Table1_1[[#This Row],[Shares]]+Table1_1[[#This Row],[Comments]])/Table1_1[[#This Row],[Impressions]])*100</f>
        <v>19.548583208133888</v>
      </c>
      <c r="J37" s="3" t="s">
        <v>24</v>
      </c>
    </row>
    <row r="38" spans="1:10" x14ac:dyDescent="0.3">
      <c r="A38" s="1" t="s">
        <v>40</v>
      </c>
      <c r="B38" s="1" t="s">
        <v>19</v>
      </c>
      <c r="C38" s="2">
        <v>45452</v>
      </c>
      <c r="D38" s="1" t="s">
        <v>36</v>
      </c>
      <c r="E38" s="1">
        <v>2786</v>
      </c>
      <c r="F38" s="1">
        <v>368</v>
      </c>
      <c r="G38" s="1">
        <v>208</v>
      </c>
      <c r="H38" s="1">
        <v>42000</v>
      </c>
      <c r="I38" s="4">
        <f>((Table1_1[[#This Row],[Likes]]+Table1_1[[#This Row],[Shares]]+Table1_1[[#This Row],[Comments]])/Table1_1[[#This Row],[Impressions]])*100</f>
        <v>8.0047619047619047</v>
      </c>
      <c r="J38" s="3" t="s">
        <v>13</v>
      </c>
    </row>
    <row r="39" spans="1:10" x14ac:dyDescent="0.3">
      <c r="A39" s="1" t="s">
        <v>40</v>
      </c>
      <c r="B39" s="1" t="s">
        <v>19</v>
      </c>
      <c r="C39" s="2">
        <v>45452</v>
      </c>
      <c r="D39" s="1" t="s">
        <v>36</v>
      </c>
      <c r="E39" s="1">
        <v>2786</v>
      </c>
      <c r="F39" s="1">
        <v>368</v>
      </c>
      <c r="G39" s="1">
        <v>208</v>
      </c>
      <c r="H39" s="1">
        <v>42000</v>
      </c>
      <c r="I39" s="4">
        <f>((Table1_1[[#This Row],[Likes]]+Table1_1[[#This Row],[Shares]]+Table1_1[[#This Row],[Comments]])/Table1_1[[#This Row],[Impressions]])*100</f>
        <v>8.0047619047619047</v>
      </c>
      <c r="J39" s="3" t="s">
        <v>27</v>
      </c>
    </row>
    <row r="40" spans="1:10" x14ac:dyDescent="0.3">
      <c r="A40" s="1" t="s">
        <v>41</v>
      </c>
      <c r="B40" s="1" t="s">
        <v>15</v>
      </c>
      <c r="C40" s="2">
        <v>45583</v>
      </c>
      <c r="D40" s="1" t="s">
        <v>11</v>
      </c>
      <c r="E40" s="1">
        <v>2607</v>
      </c>
      <c r="F40" s="1">
        <v>379</v>
      </c>
      <c r="G40" s="1">
        <v>180</v>
      </c>
      <c r="H40" s="1">
        <v>28712</v>
      </c>
      <c r="I40" s="4">
        <f>((Table1_1[[#This Row],[Likes]]+Table1_1[[#This Row],[Shares]]+Table1_1[[#This Row],[Comments]])/Table1_1[[#This Row],[Impressions]])*100</f>
        <v>11.026748397882418</v>
      </c>
      <c r="J40" s="3" t="s">
        <v>27</v>
      </c>
    </row>
    <row r="41" spans="1:10" x14ac:dyDescent="0.3">
      <c r="A41" s="1" t="s">
        <v>42</v>
      </c>
      <c r="B41" s="1" t="s">
        <v>19</v>
      </c>
      <c r="C41" s="2">
        <v>45575</v>
      </c>
      <c r="D41" s="1" t="s">
        <v>36</v>
      </c>
      <c r="E41" s="1">
        <v>4013</v>
      </c>
      <c r="F41" s="1">
        <v>320</v>
      </c>
      <c r="G41" s="1">
        <v>92</v>
      </c>
      <c r="H41" s="1">
        <v>54605</v>
      </c>
      <c r="I41" s="4">
        <f>((Table1_1[[#This Row],[Likes]]+Table1_1[[#This Row],[Shares]]+Table1_1[[#This Row],[Comments]])/Table1_1[[#This Row],[Impressions]])*100</f>
        <v>8.1036535115831878</v>
      </c>
      <c r="J41" s="3" t="s">
        <v>13</v>
      </c>
    </row>
    <row r="42" spans="1:10" x14ac:dyDescent="0.3">
      <c r="A42" s="1" t="s">
        <v>42</v>
      </c>
      <c r="B42" s="1" t="s">
        <v>19</v>
      </c>
      <c r="C42" s="2">
        <v>45575</v>
      </c>
      <c r="D42" s="1" t="s">
        <v>36</v>
      </c>
      <c r="E42" s="1">
        <v>4013</v>
      </c>
      <c r="F42" s="1">
        <v>320</v>
      </c>
      <c r="G42" s="1">
        <v>92</v>
      </c>
      <c r="H42" s="1">
        <v>54605</v>
      </c>
      <c r="I42" s="4">
        <f>((Table1_1[[#This Row],[Likes]]+Table1_1[[#This Row],[Shares]]+Table1_1[[#This Row],[Comments]])/Table1_1[[#This Row],[Impressions]])*100</f>
        <v>8.1036535115831878</v>
      </c>
      <c r="J42" s="3" t="s">
        <v>27</v>
      </c>
    </row>
    <row r="43" spans="1:10" x14ac:dyDescent="0.3">
      <c r="A43" s="1" t="s">
        <v>43</v>
      </c>
      <c r="B43" s="1" t="s">
        <v>15</v>
      </c>
      <c r="C43" s="2">
        <v>45791</v>
      </c>
      <c r="D43" s="1" t="s">
        <v>16</v>
      </c>
      <c r="E43" s="1">
        <v>2707</v>
      </c>
      <c r="F43" s="1">
        <v>103</v>
      </c>
      <c r="G43" s="1">
        <v>51</v>
      </c>
      <c r="H43" s="1">
        <v>55302</v>
      </c>
      <c r="I43" s="4">
        <f>((Table1_1[[#This Row],[Likes]]+Table1_1[[#This Row],[Shares]]+Table1_1[[#This Row],[Comments]])/Table1_1[[#This Row],[Impressions]])*100</f>
        <v>5.1734114498571477</v>
      </c>
      <c r="J43" s="3" t="s">
        <v>13</v>
      </c>
    </row>
    <row r="44" spans="1:10" x14ac:dyDescent="0.3">
      <c r="A44" s="1" t="s">
        <v>43</v>
      </c>
      <c r="B44" s="1" t="s">
        <v>15</v>
      </c>
      <c r="C44" s="2">
        <v>45791</v>
      </c>
      <c r="D44" s="1" t="s">
        <v>16</v>
      </c>
      <c r="E44" s="1">
        <v>2707</v>
      </c>
      <c r="F44" s="1">
        <v>103</v>
      </c>
      <c r="G44" s="1">
        <v>51</v>
      </c>
      <c r="H44" s="1">
        <v>55302</v>
      </c>
      <c r="I44" s="4">
        <f>((Table1_1[[#This Row],[Likes]]+Table1_1[[#This Row],[Shares]]+Table1_1[[#This Row],[Comments]])/Table1_1[[#This Row],[Impressions]])*100</f>
        <v>5.1734114498571477</v>
      </c>
      <c r="J44" s="3" t="s">
        <v>319</v>
      </c>
    </row>
    <row r="45" spans="1:10" x14ac:dyDescent="0.3">
      <c r="A45" s="1" t="s">
        <v>44</v>
      </c>
      <c r="B45" s="1" t="s">
        <v>10</v>
      </c>
      <c r="C45" s="2">
        <v>45625</v>
      </c>
      <c r="D45" s="1" t="s">
        <v>11</v>
      </c>
      <c r="E45" s="1">
        <v>2824</v>
      </c>
      <c r="F45" s="1">
        <v>425</v>
      </c>
      <c r="G45" s="1">
        <v>274</v>
      </c>
      <c r="H45" s="1">
        <v>31004</v>
      </c>
      <c r="I45" s="4">
        <f>((Table1_1[[#This Row],[Likes]]+Table1_1[[#This Row],[Shares]]+Table1_1[[#This Row],[Comments]])/Table1_1[[#This Row],[Impressions]])*100</f>
        <v>11.363049929041415</v>
      </c>
      <c r="J45" s="3" t="s">
        <v>27</v>
      </c>
    </row>
    <row r="46" spans="1:10" x14ac:dyDescent="0.3">
      <c r="A46" s="1" t="s">
        <v>44</v>
      </c>
      <c r="B46" s="1" t="s">
        <v>10</v>
      </c>
      <c r="C46" s="2">
        <v>45625</v>
      </c>
      <c r="D46" s="1" t="s">
        <v>11</v>
      </c>
      <c r="E46" s="1">
        <v>2824</v>
      </c>
      <c r="F46" s="1">
        <v>425</v>
      </c>
      <c r="G46" s="1">
        <v>274</v>
      </c>
      <c r="H46" s="1">
        <v>31004</v>
      </c>
      <c r="I46" s="4">
        <f>((Table1_1[[#This Row],[Likes]]+Table1_1[[#This Row],[Shares]]+Table1_1[[#This Row],[Comments]])/Table1_1[[#This Row],[Impressions]])*100</f>
        <v>11.363049929041415</v>
      </c>
      <c r="J46" s="3" t="s">
        <v>24</v>
      </c>
    </row>
    <row r="47" spans="1:10" x14ac:dyDescent="0.3">
      <c r="A47" s="1" t="s">
        <v>45</v>
      </c>
      <c r="B47" s="1" t="s">
        <v>19</v>
      </c>
      <c r="C47" s="2">
        <v>45356</v>
      </c>
      <c r="D47" s="1" t="s">
        <v>36</v>
      </c>
      <c r="E47" s="1">
        <v>3558</v>
      </c>
      <c r="F47" s="1">
        <v>314</v>
      </c>
      <c r="G47" s="1">
        <v>199</v>
      </c>
      <c r="H47" s="1">
        <v>49612</v>
      </c>
      <c r="I47" s="4">
        <f>((Table1_1[[#This Row],[Likes]]+Table1_1[[#This Row],[Shares]]+Table1_1[[#This Row],[Comments]])/Table1_1[[#This Row],[Impressions]])*100</f>
        <v>8.2056760461178744</v>
      </c>
      <c r="J47" s="3" t="s">
        <v>13</v>
      </c>
    </row>
    <row r="48" spans="1:10" x14ac:dyDescent="0.3">
      <c r="A48" s="1" t="s">
        <v>45</v>
      </c>
      <c r="B48" s="1" t="s">
        <v>19</v>
      </c>
      <c r="C48" s="2">
        <v>45356</v>
      </c>
      <c r="D48" s="1" t="s">
        <v>36</v>
      </c>
      <c r="E48" s="1">
        <v>3558</v>
      </c>
      <c r="F48" s="1">
        <v>314</v>
      </c>
      <c r="G48" s="1">
        <v>199</v>
      </c>
      <c r="H48" s="1">
        <v>49612</v>
      </c>
      <c r="I48" s="4">
        <f>((Table1_1[[#This Row],[Likes]]+Table1_1[[#This Row],[Shares]]+Table1_1[[#This Row],[Comments]])/Table1_1[[#This Row],[Impressions]])*100</f>
        <v>8.2056760461178744</v>
      </c>
      <c r="J48" s="3" t="s">
        <v>27</v>
      </c>
    </row>
    <row r="49" spans="1:10" x14ac:dyDescent="0.3">
      <c r="A49" s="1" t="s">
        <v>46</v>
      </c>
      <c r="B49" s="1" t="s">
        <v>15</v>
      </c>
      <c r="C49" s="2">
        <v>45734</v>
      </c>
      <c r="D49" s="1" t="s">
        <v>16</v>
      </c>
      <c r="E49" s="1">
        <v>3418</v>
      </c>
      <c r="F49" s="1">
        <v>188</v>
      </c>
      <c r="G49" s="1">
        <v>387</v>
      </c>
      <c r="H49" s="1">
        <v>57431</v>
      </c>
      <c r="I49" s="4">
        <f>((Table1_1[[#This Row],[Likes]]+Table1_1[[#This Row],[Shares]]+Table1_1[[#This Row],[Comments]])/Table1_1[[#This Row],[Impressions]])*100</f>
        <v>6.9526910553533803</v>
      </c>
      <c r="J49" s="3" t="s">
        <v>319</v>
      </c>
    </row>
    <row r="50" spans="1:10" x14ac:dyDescent="0.3">
      <c r="A50" s="1" t="s">
        <v>46</v>
      </c>
      <c r="B50" s="1" t="s">
        <v>15</v>
      </c>
      <c r="C50" s="2">
        <v>45734</v>
      </c>
      <c r="D50" s="1" t="s">
        <v>16</v>
      </c>
      <c r="E50" s="1">
        <v>3418</v>
      </c>
      <c r="F50" s="1">
        <v>188</v>
      </c>
      <c r="G50" s="1">
        <v>387</v>
      </c>
      <c r="H50" s="1">
        <v>57431</v>
      </c>
      <c r="I50" s="4">
        <f>((Table1_1[[#This Row],[Likes]]+Table1_1[[#This Row],[Shares]]+Table1_1[[#This Row],[Comments]])/Table1_1[[#This Row],[Impressions]])*100</f>
        <v>6.9526910553533803</v>
      </c>
      <c r="J50" s="3" t="s">
        <v>24</v>
      </c>
    </row>
    <row r="51" spans="1:10" x14ac:dyDescent="0.3">
      <c r="A51" s="1" t="s">
        <v>47</v>
      </c>
      <c r="B51" s="1" t="s">
        <v>15</v>
      </c>
      <c r="C51" s="2">
        <v>45773</v>
      </c>
      <c r="D51" s="1" t="s">
        <v>11</v>
      </c>
      <c r="E51" s="1">
        <v>2411</v>
      </c>
      <c r="F51" s="1">
        <v>194</v>
      </c>
      <c r="G51" s="1">
        <v>168</v>
      </c>
      <c r="H51" s="1">
        <v>26665</v>
      </c>
      <c r="I51" s="4">
        <f>((Table1_1[[#This Row],[Likes]]+Table1_1[[#This Row],[Shares]]+Table1_1[[#This Row],[Comments]])/Table1_1[[#This Row],[Impressions]])*100</f>
        <v>10.399399962497656</v>
      </c>
      <c r="J51" s="3" t="s">
        <v>24</v>
      </c>
    </row>
    <row r="52" spans="1:10" x14ac:dyDescent="0.3">
      <c r="A52" s="1" t="s">
        <v>48</v>
      </c>
      <c r="B52" s="1" t="s">
        <v>10</v>
      </c>
      <c r="C52" s="2">
        <v>45658</v>
      </c>
      <c r="D52" s="1" t="s">
        <v>11</v>
      </c>
      <c r="E52" s="1">
        <v>4036</v>
      </c>
      <c r="F52" s="1">
        <v>112</v>
      </c>
      <c r="G52" s="1">
        <v>382</v>
      </c>
      <c r="H52" s="1">
        <v>56284</v>
      </c>
      <c r="I52" s="4">
        <f>((Table1_1[[#This Row],[Likes]]+Table1_1[[#This Row],[Shares]]+Table1_1[[#This Row],[Comments]])/Table1_1[[#This Row],[Impressions]])*100</f>
        <v>8.0484684812735416</v>
      </c>
      <c r="J52" s="3" t="s">
        <v>27</v>
      </c>
    </row>
    <row r="53" spans="1:10" x14ac:dyDescent="0.3">
      <c r="A53" s="1" t="s">
        <v>48</v>
      </c>
      <c r="B53" s="1" t="s">
        <v>10</v>
      </c>
      <c r="C53" s="2">
        <v>45658</v>
      </c>
      <c r="D53" s="1" t="s">
        <v>11</v>
      </c>
      <c r="E53" s="1">
        <v>4036</v>
      </c>
      <c r="F53" s="1">
        <v>112</v>
      </c>
      <c r="G53" s="1">
        <v>382</v>
      </c>
      <c r="H53" s="1">
        <v>56284</v>
      </c>
      <c r="I53" s="4">
        <f>((Table1_1[[#This Row],[Likes]]+Table1_1[[#This Row],[Shares]]+Table1_1[[#This Row],[Comments]])/Table1_1[[#This Row],[Impressions]])*100</f>
        <v>8.0484684812735416</v>
      </c>
      <c r="J53" s="3" t="s">
        <v>24</v>
      </c>
    </row>
    <row r="54" spans="1:10" x14ac:dyDescent="0.3">
      <c r="A54" s="1" t="s">
        <v>49</v>
      </c>
      <c r="B54" s="1" t="s">
        <v>15</v>
      </c>
      <c r="C54" s="2">
        <v>45419</v>
      </c>
      <c r="D54" s="1" t="s">
        <v>16</v>
      </c>
      <c r="E54" s="1">
        <v>2776</v>
      </c>
      <c r="F54" s="1">
        <v>307</v>
      </c>
      <c r="G54" s="1">
        <v>178</v>
      </c>
      <c r="H54" s="1">
        <v>43365</v>
      </c>
      <c r="I54" s="4">
        <f>((Table1_1[[#This Row],[Likes]]+Table1_1[[#This Row],[Shares]]+Table1_1[[#This Row],[Comments]])/Table1_1[[#This Row],[Impressions]])*100</f>
        <v>7.5198893116568657</v>
      </c>
      <c r="J54" s="3" t="s">
        <v>27</v>
      </c>
    </row>
    <row r="55" spans="1:10" x14ac:dyDescent="0.3">
      <c r="A55" s="1" t="s">
        <v>49</v>
      </c>
      <c r="B55" s="1" t="s">
        <v>15</v>
      </c>
      <c r="C55" s="2">
        <v>45419</v>
      </c>
      <c r="D55" s="1" t="s">
        <v>16</v>
      </c>
      <c r="E55" s="1">
        <v>2776</v>
      </c>
      <c r="F55" s="1">
        <v>307</v>
      </c>
      <c r="G55" s="1">
        <v>178</v>
      </c>
      <c r="H55" s="1">
        <v>43365</v>
      </c>
      <c r="I55" s="4">
        <f>((Table1_1[[#This Row],[Likes]]+Table1_1[[#This Row],[Shares]]+Table1_1[[#This Row],[Comments]])/Table1_1[[#This Row],[Impressions]])*100</f>
        <v>7.5198893116568657</v>
      </c>
      <c r="J55" s="3" t="s">
        <v>24</v>
      </c>
    </row>
    <row r="56" spans="1:10" x14ac:dyDescent="0.3">
      <c r="A56" s="1" t="s">
        <v>50</v>
      </c>
      <c r="B56" s="1" t="s">
        <v>15</v>
      </c>
      <c r="C56" s="2">
        <v>45574</v>
      </c>
      <c r="D56" s="1" t="s">
        <v>16</v>
      </c>
      <c r="E56" s="1">
        <v>4929</v>
      </c>
      <c r="F56" s="1">
        <v>182</v>
      </c>
      <c r="G56" s="1">
        <v>95</v>
      </c>
      <c r="H56" s="1">
        <v>32181</v>
      </c>
      <c r="I56" s="4">
        <f>((Table1_1[[#This Row],[Likes]]+Table1_1[[#This Row],[Shares]]+Table1_1[[#This Row],[Comments]])/Table1_1[[#This Row],[Impressions]])*100</f>
        <v>16.177247444144061</v>
      </c>
      <c r="J56" s="3" t="s">
        <v>13</v>
      </c>
    </row>
    <row r="57" spans="1:10" x14ac:dyDescent="0.3">
      <c r="A57" s="1" t="s">
        <v>50</v>
      </c>
      <c r="B57" s="1" t="s">
        <v>15</v>
      </c>
      <c r="C57" s="2">
        <v>45574</v>
      </c>
      <c r="D57" s="1" t="s">
        <v>16</v>
      </c>
      <c r="E57" s="1">
        <v>4929</v>
      </c>
      <c r="F57" s="1">
        <v>182</v>
      </c>
      <c r="G57" s="1">
        <v>95</v>
      </c>
      <c r="H57" s="1">
        <v>32181</v>
      </c>
      <c r="I57" s="4">
        <f>((Table1_1[[#This Row],[Likes]]+Table1_1[[#This Row],[Shares]]+Table1_1[[#This Row],[Comments]])/Table1_1[[#This Row],[Impressions]])*100</f>
        <v>16.177247444144061</v>
      </c>
      <c r="J57" s="3" t="s">
        <v>319</v>
      </c>
    </row>
    <row r="58" spans="1:10" x14ac:dyDescent="0.3">
      <c r="A58" s="1" t="s">
        <v>51</v>
      </c>
      <c r="B58" s="1" t="s">
        <v>10</v>
      </c>
      <c r="C58" s="2">
        <v>45666</v>
      </c>
      <c r="D58" s="1" t="s">
        <v>11</v>
      </c>
      <c r="E58" s="1">
        <v>1015</v>
      </c>
      <c r="F58" s="1">
        <v>366</v>
      </c>
      <c r="G58" s="1">
        <v>308</v>
      </c>
      <c r="H58" s="1">
        <v>38127</v>
      </c>
      <c r="I58" s="4">
        <f>((Table1_1[[#This Row],[Likes]]+Table1_1[[#This Row],[Shares]]+Table1_1[[#This Row],[Comments]])/Table1_1[[#This Row],[Impressions]])*100</f>
        <v>4.4299315445747114</v>
      </c>
      <c r="J58" s="3" t="s">
        <v>27</v>
      </c>
    </row>
    <row r="59" spans="1:10" x14ac:dyDescent="0.3">
      <c r="A59" s="1" t="s">
        <v>51</v>
      </c>
      <c r="B59" s="1" t="s">
        <v>10</v>
      </c>
      <c r="C59" s="2">
        <v>45666</v>
      </c>
      <c r="D59" s="1" t="s">
        <v>11</v>
      </c>
      <c r="E59" s="1">
        <v>1015</v>
      </c>
      <c r="F59" s="1">
        <v>366</v>
      </c>
      <c r="G59" s="1">
        <v>308</v>
      </c>
      <c r="H59" s="1">
        <v>38127</v>
      </c>
      <c r="I59" s="4">
        <f>((Table1_1[[#This Row],[Likes]]+Table1_1[[#This Row],[Shares]]+Table1_1[[#This Row],[Comments]])/Table1_1[[#This Row],[Impressions]])*100</f>
        <v>4.4299315445747114</v>
      </c>
      <c r="J59" s="3" t="s">
        <v>24</v>
      </c>
    </row>
    <row r="60" spans="1:10" x14ac:dyDescent="0.3">
      <c r="A60" s="1" t="s">
        <v>52</v>
      </c>
      <c r="B60" s="1" t="s">
        <v>15</v>
      </c>
      <c r="C60" s="2">
        <v>45785</v>
      </c>
      <c r="D60" s="1" t="s">
        <v>16</v>
      </c>
      <c r="E60" s="1">
        <v>3316</v>
      </c>
      <c r="F60" s="1">
        <v>332</v>
      </c>
      <c r="G60" s="1">
        <v>268</v>
      </c>
      <c r="H60" s="1">
        <v>40095</v>
      </c>
      <c r="I60" s="4">
        <f>((Table1_1[[#This Row],[Likes]]+Table1_1[[#This Row],[Shares]]+Table1_1[[#This Row],[Comments]])/Table1_1[[#This Row],[Impressions]])*100</f>
        <v>9.7668038408779143</v>
      </c>
      <c r="J60" s="3" t="s">
        <v>319</v>
      </c>
    </row>
    <row r="61" spans="1:10" x14ac:dyDescent="0.3">
      <c r="A61" s="1" t="s">
        <v>52</v>
      </c>
      <c r="B61" s="1" t="s">
        <v>15</v>
      </c>
      <c r="C61" s="2">
        <v>45785</v>
      </c>
      <c r="D61" s="1" t="s">
        <v>16</v>
      </c>
      <c r="E61" s="1">
        <v>3316</v>
      </c>
      <c r="F61" s="1">
        <v>332</v>
      </c>
      <c r="G61" s="1">
        <v>268</v>
      </c>
      <c r="H61" s="1">
        <v>40095</v>
      </c>
      <c r="I61" s="4">
        <f>((Table1_1[[#This Row],[Likes]]+Table1_1[[#This Row],[Shares]]+Table1_1[[#This Row],[Comments]])/Table1_1[[#This Row],[Impressions]])*100</f>
        <v>9.7668038408779143</v>
      </c>
      <c r="J61" s="3" t="s">
        <v>24</v>
      </c>
    </row>
    <row r="62" spans="1:10" x14ac:dyDescent="0.3">
      <c r="A62" s="1" t="s">
        <v>53</v>
      </c>
      <c r="B62" s="1" t="s">
        <v>10</v>
      </c>
      <c r="C62" s="2">
        <v>45416</v>
      </c>
      <c r="D62" s="1" t="s">
        <v>11</v>
      </c>
      <c r="E62" s="1">
        <v>2274</v>
      </c>
      <c r="F62" s="1">
        <v>243</v>
      </c>
      <c r="G62" s="1">
        <v>222</v>
      </c>
      <c r="H62" s="1">
        <v>43066</v>
      </c>
      <c r="I62" s="4">
        <f>((Table1_1[[#This Row],[Likes]]+Table1_1[[#This Row],[Shares]]+Table1_1[[#This Row],[Comments]])/Table1_1[[#This Row],[Impressions]])*100</f>
        <v>6.3600055728416844</v>
      </c>
      <c r="J62" s="3" t="s">
        <v>13</v>
      </c>
    </row>
    <row r="63" spans="1:10" x14ac:dyDescent="0.3">
      <c r="A63" s="1" t="s">
        <v>54</v>
      </c>
      <c r="B63" s="1" t="s">
        <v>15</v>
      </c>
      <c r="C63" s="2">
        <v>45804</v>
      </c>
      <c r="D63" s="1" t="s">
        <v>16</v>
      </c>
      <c r="E63" s="1">
        <v>4095</v>
      </c>
      <c r="F63" s="1">
        <v>385</v>
      </c>
      <c r="G63" s="1">
        <v>400</v>
      </c>
      <c r="H63" s="1">
        <v>45300</v>
      </c>
      <c r="I63" s="4">
        <f>((Table1_1[[#This Row],[Likes]]+Table1_1[[#This Row],[Shares]]+Table1_1[[#This Row],[Comments]])/Table1_1[[#This Row],[Impressions]])*100</f>
        <v>10.772626931567329</v>
      </c>
      <c r="J63" s="3" t="s">
        <v>319</v>
      </c>
    </row>
    <row r="64" spans="1:10" x14ac:dyDescent="0.3">
      <c r="A64" s="1" t="s">
        <v>54</v>
      </c>
      <c r="B64" s="1" t="s">
        <v>15</v>
      </c>
      <c r="C64" s="2">
        <v>45804</v>
      </c>
      <c r="D64" s="1" t="s">
        <v>16</v>
      </c>
      <c r="E64" s="1">
        <v>4095</v>
      </c>
      <c r="F64" s="1">
        <v>385</v>
      </c>
      <c r="G64" s="1">
        <v>400</v>
      </c>
      <c r="H64" s="1">
        <v>45300</v>
      </c>
      <c r="I64" s="4">
        <f>((Table1_1[[#This Row],[Likes]]+Table1_1[[#This Row],[Shares]]+Table1_1[[#This Row],[Comments]])/Table1_1[[#This Row],[Impressions]])*100</f>
        <v>10.772626931567329</v>
      </c>
      <c r="J64" s="3" t="s">
        <v>24</v>
      </c>
    </row>
    <row r="65" spans="1:10" x14ac:dyDescent="0.3">
      <c r="A65" s="1" t="s">
        <v>55</v>
      </c>
      <c r="B65" s="1" t="s">
        <v>10</v>
      </c>
      <c r="C65" s="2">
        <v>45545</v>
      </c>
      <c r="D65" s="1" t="s">
        <v>16</v>
      </c>
      <c r="E65" s="1">
        <v>1230</v>
      </c>
      <c r="F65" s="1">
        <v>309</v>
      </c>
      <c r="G65" s="1">
        <v>207</v>
      </c>
      <c r="H65" s="1">
        <v>44629</v>
      </c>
      <c r="I65" s="4">
        <f>((Table1_1[[#This Row],[Likes]]+Table1_1[[#This Row],[Shares]]+Table1_1[[#This Row],[Comments]])/Table1_1[[#This Row],[Impressions]])*100</f>
        <v>3.9122543637545095</v>
      </c>
      <c r="J65" s="3" t="s">
        <v>24</v>
      </c>
    </row>
    <row r="66" spans="1:10" x14ac:dyDescent="0.3">
      <c r="A66" s="1" t="s">
        <v>56</v>
      </c>
      <c r="B66" s="1" t="s">
        <v>10</v>
      </c>
      <c r="C66" s="2">
        <v>45621</v>
      </c>
      <c r="D66" s="1" t="s">
        <v>11</v>
      </c>
      <c r="E66" s="1">
        <v>1341</v>
      </c>
      <c r="F66" s="1">
        <v>472</v>
      </c>
      <c r="G66" s="1">
        <v>238</v>
      </c>
      <c r="H66" s="1">
        <v>51386</v>
      </c>
      <c r="I66" s="4">
        <f>((Table1_1[[#This Row],[Likes]]+Table1_1[[#This Row],[Shares]]+Table1_1[[#This Row],[Comments]])/Table1_1[[#This Row],[Impressions]])*100</f>
        <v>3.9913595142645857</v>
      </c>
      <c r="J66" s="3" t="s">
        <v>13</v>
      </c>
    </row>
    <row r="67" spans="1:10" x14ac:dyDescent="0.3">
      <c r="A67" s="1" t="s">
        <v>57</v>
      </c>
      <c r="B67" s="1" t="s">
        <v>15</v>
      </c>
      <c r="C67" s="2">
        <v>45818</v>
      </c>
      <c r="D67" s="1" t="s">
        <v>11</v>
      </c>
      <c r="E67" s="1">
        <v>3615</v>
      </c>
      <c r="F67" s="1">
        <v>192</v>
      </c>
      <c r="G67" s="1">
        <v>162</v>
      </c>
      <c r="H67" s="1">
        <v>27492</v>
      </c>
      <c r="I67" s="4">
        <f>((Table1_1[[#This Row],[Likes]]+Table1_1[[#This Row],[Shares]]+Table1_1[[#This Row],[Comments]])/Table1_1[[#This Row],[Impressions]])*100</f>
        <v>14.436927106067218</v>
      </c>
      <c r="J67" s="3" t="s">
        <v>24</v>
      </c>
    </row>
    <row r="68" spans="1:10" x14ac:dyDescent="0.3">
      <c r="A68" s="1" t="s">
        <v>58</v>
      </c>
      <c r="B68" s="1" t="s">
        <v>10</v>
      </c>
      <c r="C68" s="2">
        <v>45401</v>
      </c>
      <c r="D68" s="1" t="s">
        <v>11</v>
      </c>
      <c r="E68" s="1">
        <v>4001</v>
      </c>
      <c r="F68" s="1">
        <v>353</v>
      </c>
      <c r="G68" s="1">
        <v>129</v>
      </c>
      <c r="H68" s="1">
        <v>41265</v>
      </c>
      <c r="I68" s="4">
        <f>((Table1_1[[#This Row],[Likes]]+Table1_1[[#This Row],[Shares]]+Table1_1[[#This Row],[Comments]])/Table1_1[[#This Row],[Impressions]])*100</f>
        <v>10.863928268508422</v>
      </c>
      <c r="J68" s="3" t="s">
        <v>27</v>
      </c>
    </row>
    <row r="69" spans="1:10" x14ac:dyDescent="0.3">
      <c r="A69" s="1" t="s">
        <v>58</v>
      </c>
      <c r="B69" s="1" t="s">
        <v>10</v>
      </c>
      <c r="C69" s="2">
        <v>45401</v>
      </c>
      <c r="D69" s="1" t="s">
        <v>11</v>
      </c>
      <c r="E69" s="1">
        <v>4001</v>
      </c>
      <c r="F69" s="1">
        <v>353</v>
      </c>
      <c r="G69" s="1">
        <v>129</v>
      </c>
      <c r="H69" s="1">
        <v>41265</v>
      </c>
      <c r="I69" s="4">
        <f>((Table1_1[[#This Row],[Likes]]+Table1_1[[#This Row],[Shares]]+Table1_1[[#This Row],[Comments]])/Table1_1[[#This Row],[Impressions]])*100</f>
        <v>10.863928268508422</v>
      </c>
      <c r="J69" s="3" t="s">
        <v>24</v>
      </c>
    </row>
    <row r="70" spans="1:10" x14ac:dyDescent="0.3">
      <c r="A70" s="1" t="s">
        <v>59</v>
      </c>
      <c r="B70" s="1" t="s">
        <v>10</v>
      </c>
      <c r="C70" s="2">
        <v>45683</v>
      </c>
      <c r="D70" s="1" t="s">
        <v>16</v>
      </c>
      <c r="E70" s="1">
        <v>3451</v>
      </c>
      <c r="F70" s="1">
        <v>363</v>
      </c>
      <c r="G70" s="1">
        <v>393</v>
      </c>
      <c r="H70" s="1">
        <v>44853</v>
      </c>
      <c r="I70" s="4">
        <f>((Table1_1[[#This Row],[Likes]]+Table1_1[[#This Row],[Shares]]+Table1_1[[#This Row],[Comments]])/Table1_1[[#This Row],[Impressions]])*100</f>
        <v>9.3795286825853346</v>
      </c>
      <c r="J70" s="3" t="s">
        <v>24</v>
      </c>
    </row>
    <row r="71" spans="1:10" x14ac:dyDescent="0.3">
      <c r="A71" s="1" t="s">
        <v>60</v>
      </c>
      <c r="B71" s="1" t="s">
        <v>10</v>
      </c>
      <c r="C71" s="2">
        <v>45702</v>
      </c>
      <c r="D71" s="1" t="s">
        <v>11</v>
      </c>
      <c r="E71" s="1">
        <v>4891</v>
      </c>
      <c r="F71" s="1">
        <v>450</v>
      </c>
      <c r="G71" s="1">
        <v>387</v>
      </c>
      <c r="H71" s="1">
        <v>48746</v>
      </c>
      <c r="I71" s="4">
        <f>((Table1_1[[#This Row],[Likes]]+Table1_1[[#This Row],[Shares]]+Table1_1[[#This Row],[Comments]])/Table1_1[[#This Row],[Impressions]])*100</f>
        <v>11.750707750379519</v>
      </c>
      <c r="J71" s="3" t="s">
        <v>27</v>
      </c>
    </row>
    <row r="72" spans="1:10" x14ac:dyDescent="0.3">
      <c r="A72" s="1" t="s">
        <v>60</v>
      </c>
      <c r="B72" s="1" t="s">
        <v>10</v>
      </c>
      <c r="C72" s="2">
        <v>45702</v>
      </c>
      <c r="D72" s="1" t="s">
        <v>11</v>
      </c>
      <c r="E72" s="1">
        <v>4891</v>
      </c>
      <c r="F72" s="1">
        <v>450</v>
      </c>
      <c r="G72" s="1">
        <v>387</v>
      </c>
      <c r="H72" s="1">
        <v>48746</v>
      </c>
      <c r="I72" s="4">
        <f>((Table1_1[[#This Row],[Likes]]+Table1_1[[#This Row],[Shares]]+Table1_1[[#This Row],[Comments]])/Table1_1[[#This Row],[Impressions]])*100</f>
        <v>11.750707750379519</v>
      </c>
      <c r="J72" s="3" t="s">
        <v>24</v>
      </c>
    </row>
    <row r="73" spans="1:10" x14ac:dyDescent="0.3">
      <c r="A73" s="1" t="s">
        <v>61</v>
      </c>
      <c r="B73" s="1" t="s">
        <v>10</v>
      </c>
      <c r="C73" s="2">
        <v>45541</v>
      </c>
      <c r="D73" s="1" t="s">
        <v>11</v>
      </c>
      <c r="E73" s="1">
        <v>1452</v>
      </c>
      <c r="F73" s="1">
        <v>281</v>
      </c>
      <c r="G73" s="1">
        <v>326</v>
      </c>
      <c r="H73" s="1">
        <v>51556</v>
      </c>
      <c r="I73" s="4">
        <f>((Table1_1[[#This Row],[Likes]]+Table1_1[[#This Row],[Shares]]+Table1_1[[#This Row],[Comments]])/Table1_1[[#This Row],[Impressions]])*100</f>
        <v>3.9937155714174879</v>
      </c>
      <c r="J73" s="3" t="s">
        <v>13</v>
      </c>
    </row>
    <row r="74" spans="1:10" x14ac:dyDescent="0.3">
      <c r="A74" s="1" t="s">
        <v>62</v>
      </c>
      <c r="B74" s="1" t="s">
        <v>19</v>
      </c>
      <c r="C74" s="2">
        <v>45487</v>
      </c>
      <c r="D74" s="1" t="s">
        <v>11</v>
      </c>
      <c r="E74" s="1">
        <v>3806</v>
      </c>
      <c r="F74" s="1">
        <v>114</v>
      </c>
      <c r="G74" s="1">
        <v>278</v>
      </c>
      <c r="H74" s="1">
        <v>36148</v>
      </c>
      <c r="I74" s="4">
        <f>((Table1_1[[#This Row],[Likes]]+Table1_1[[#This Row],[Shares]]+Table1_1[[#This Row],[Comments]])/Table1_1[[#This Row],[Impressions]])*100</f>
        <v>11.613367267898639</v>
      </c>
      <c r="J74" s="3" t="s">
        <v>13</v>
      </c>
    </row>
    <row r="75" spans="1:10" x14ac:dyDescent="0.3">
      <c r="A75" s="1" t="s">
        <v>62</v>
      </c>
      <c r="B75" s="1" t="s">
        <v>19</v>
      </c>
      <c r="C75" s="2">
        <v>45487</v>
      </c>
      <c r="D75" s="1" t="s">
        <v>11</v>
      </c>
      <c r="E75" s="1">
        <v>3806</v>
      </c>
      <c r="F75" s="1">
        <v>114</v>
      </c>
      <c r="G75" s="1">
        <v>278</v>
      </c>
      <c r="H75" s="1">
        <v>36148</v>
      </c>
      <c r="I75" s="4">
        <f>((Table1_1[[#This Row],[Likes]]+Table1_1[[#This Row],[Shares]]+Table1_1[[#This Row],[Comments]])/Table1_1[[#This Row],[Impressions]])*100</f>
        <v>11.613367267898639</v>
      </c>
      <c r="J75" s="3" t="s">
        <v>320</v>
      </c>
    </row>
    <row r="76" spans="1:10" x14ac:dyDescent="0.3">
      <c r="A76" s="1" t="s">
        <v>63</v>
      </c>
      <c r="B76" s="1" t="s">
        <v>10</v>
      </c>
      <c r="C76" s="2">
        <v>45334</v>
      </c>
      <c r="D76" s="1" t="s">
        <v>11</v>
      </c>
      <c r="E76" s="1">
        <v>2923</v>
      </c>
      <c r="F76" s="1">
        <v>330</v>
      </c>
      <c r="G76" s="1">
        <v>250</v>
      </c>
      <c r="H76" s="1">
        <v>23993</v>
      </c>
      <c r="I76" s="4">
        <f>((Table1_1[[#This Row],[Likes]]+Table1_1[[#This Row],[Shares]]+Table1_1[[#This Row],[Comments]])/Table1_1[[#This Row],[Impressions]])*100</f>
        <v>14.600091693410578</v>
      </c>
      <c r="J76" s="3" t="s">
        <v>13</v>
      </c>
    </row>
    <row r="77" spans="1:10" x14ac:dyDescent="0.3">
      <c r="A77" s="1" t="s">
        <v>64</v>
      </c>
      <c r="B77" s="1" t="s">
        <v>19</v>
      </c>
      <c r="C77" s="2">
        <v>45365</v>
      </c>
      <c r="D77" s="1" t="s">
        <v>36</v>
      </c>
      <c r="E77" s="1">
        <v>3361</v>
      </c>
      <c r="F77" s="1">
        <v>188</v>
      </c>
      <c r="G77" s="1">
        <v>358</v>
      </c>
      <c r="H77" s="1">
        <v>39838</v>
      </c>
      <c r="I77" s="4">
        <f>((Table1_1[[#This Row],[Likes]]+Table1_1[[#This Row],[Shares]]+Table1_1[[#This Row],[Comments]])/Table1_1[[#This Row],[Impressions]])*100</f>
        <v>9.8072192379135501</v>
      </c>
      <c r="J77" s="3" t="s">
        <v>13</v>
      </c>
    </row>
    <row r="78" spans="1:10" x14ac:dyDescent="0.3">
      <c r="A78" s="1" t="s">
        <v>64</v>
      </c>
      <c r="B78" s="1" t="s">
        <v>19</v>
      </c>
      <c r="C78" s="2">
        <v>45365</v>
      </c>
      <c r="D78" s="1" t="s">
        <v>36</v>
      </c>
      <c r="E78" s="1">
        <v>3361</v>
      </c>
      <c r="F78" s="1">
        <v>188</v>
      </c>
      <c r="G78" s="1">
        <v>358</v>
      </c>
      <c r="H78" s="1">
        <v>39838</v>
      </c>
      <c r="I78" s="4">
        <f>((Table1_1[[#This Row],[Likes]]+Table1_1[[#This Row],[Shares]]+Table1_1[[#This Row],[Comments]])/Table1_1[[#This Row],[Impressions]])*100</f>
        <v>9.8072192379135501</v>
      </c>
      <c r="J78" s="3" t="s">
        <v>27</v>
      </c>
    </row>
    <row r="79" spans="1:10" x14ac:dyDescent="0.3">
      <c r="A79" s="1" t="s">
        <v>65</v>
      </c>
      <c r="B79" s="1" t="s">
        <v>10</v>
      </c>
      <c r="C79" s="2">
        <v>45693</v>
      </c>
      <c r="D79" s="1" t="s">
        <v>16</v>
      </c>
      <c r="E79" s="1">
        <v>3074</v>
      </c>
      <c r="F79" s="1">
        <v>371</v>
      </c>
      <c r="G79" s="1">
        <v>348</v>
      </c>
      <c r="H79" s="1">
        <v>24104</v>
      </c>
      <c r="I79" s="4">
        <f>((Table1_1[[#This Row],[Likes]]+Table1_1[[#This Row],[Shares]]+Table1_1[[#This Row],[Comments]])/Table1_1[[#This Row],[Impressions]])*100</f>
        <v>15.735977431131762</v>
      </c>
      <c r="J79" s="3" t="s">
        <v>24</v>
      </c>
    </row>
    <row r="80" spans="1:10" x14ac:dyDescent="0.3">
      <c r="A80" s="1" t="s">
        <v>66</v>
      </c>
      <c r="B80" s="1" t="s">
        <v>15</v>
      </c>
      <c r="C80" s="2">
        <v>45533</v>
      </c>
      <c r="D80" s="1" t="s">
        <v>16</v>
      </c>
      <c r="E80" s="1">
        <v>4276</v>
      </c>
      <c r="F80" s="1">
        <v>227</v>
      </c>
      <c r="G80" s="1">
        <v>223</v>
      </c>
      <c r="H80" s="1">
        <v>43443</v>
      </c>
      <c r="I80" s="4">
        <f>((Table1_1[[#This Row],[Likes]]+Table1_1[[#This Row],[Shares]]+Table1_1[[#This Row],[Comments]])/Table1_1[[#This Row],[Impressions]])*100</f>
        <v>10.87862256289851</v>
      </c>
      <c r="J80" s="3" t="s">
        <v>13</v>
      </c>
    </row>
    <row r="81" spans="1:10" x14ac:dyDescent="0.3">
      <c r="A81" s="1" t="s">
        <v>66</v>
      </c>
      <c r="B81" s="1" t="s">
        <v>15</v>
      </c>
      <c r="C81" s="2">
        <v>45533</v>
      </c>
      <c r="D81" s="1" t="s">
        <v>16</v>
      </c>
      <c r="E81" s="1">
        <v>4276</v>
      </c>
      <c r="F81" s="1">
        <v>227</v>
      </c>
      <c r="G81" s="1">
        <v>223</v>
      </c>
      <c r="H81" s="1">
        <v>43443</v>
      </c>
      <c r="I81" s="4">
        <f>((Table1_1[[#This Row],[Likes]]+Table1_1[[#This Row],[Shares]]+Table1_1[[#This Row],[Comments]])/Table1_1[[#This Row],[Impressions]])*100</f>
        <v>10.87862256289851</v>
      </c>
      <c r="J81" s="3" t="s">
        <v>319</v>
      </c>
    </row>
    <row r="82" spans="1:10" x14ac:dyDescent="0.3">
      <c r="A82" s="1" t="s">
        <v>67</v>
      </c>
      <c r="B82" s="1" t="s">
        <v>15</v>
      </c>
      <c r="C82" s="2">
        <v>45769</v>
      </c>
      <c r="D82" s="1" t="s">
        <v>11</v>
      </c>
      <c r="E82" s="1">
        <v>4401</v>
      </c>
      <c r="F82" s="1">
        <v>421</v>
      </c>
      <c r="G82" s="1">
        <v>216</v>
      </c>
      <c r="H82" s="1">
        <v>24890</v>
      </c>
      <c r="I82" s="4">
        <f>((Table1_1[[#This Row],[Likes]]+Table1_1[[#This Row],[Shares]]+Table1_1[[#This Row],[Comments]])/Table1_1[[#This Row],[Impressions]])*100</f>
        <v>20.241060666934512</v>
      </c>
      <c r="J82" s="3" t="s">
        <v>24</v>
      </c>
    </row>
    <row r="83" spans="1:10" x14ac:dyDescent="0.3">
      <c r="A83" s="1" t="s">
        <v>68</v>
      </c>
      <c r="B83" s="1" t="s">
        <v>19</v>
      </c>
      <c r="C83" s="2">
        <v>45425</v>
      </c>
      <c r="D83" s="1" t="s">
        <v>36</v>
      </c>
      <c r="E83" s="1">
        <v>4161</v>
      </c>
      <c r="F83" s="1">
        <v>481</v>
      </c>
      <c r="G83" s="1">
        <v>61</v>
      </c>
      <c r="H83" s="1">
        <v>45884</v>
      </c>
      <c r="I83" s="4">
        <f>((Table1_1[[#This Row],[Likes]]+Table1_1[[#This Row],[Shares]]+Table1_1[[#This Row],[Comments]])/Table1_1[[#This Row],[Impressions]])*100</f>
        <v>10.249760265016128</v>
      </c>
      <c r="J83" s="3" t="s">
        <v>13</v>
      </c>
    </row>
    <row r="84" spans="1:10" x14ac:dyDescent="0.3">
      <c r="A84" s="1" t="s">
        <v>68</v>
      </c>
      <c r="B84" s="1" t="s">
        <v>19</v>
      </c>
      <c r="C84" s="2">
        <v>45425</v>
      </c>
      <c r="D84" s="1" t="s">
        <v>36</v>
      </c>
      <c r="E84" s="1">
        <v>4161</v>
      </c>
      <c r="F84" s="1">
        <v>481</v>
      </c>
      <c r="G84" s="1">
        <v>61</v>
      </c>
      <c r="H84" s="1">
        <v>45884</v>
      </c>
      <c r="I84" s="4">
        <f>((Table1_1[[#This Row],[Likes]]+Table1_1[[#This Row],[Shares]]+Table1_1[[#This Row],[Comments]])/Table1_1[[#This Row],[Impressions]])*100</f>
        <v>10.249760265016128</v>
      </c>
      <c r="J84" s="3" t="s">
        <v>27</v>
      </c>
    </row>
    <row r="85" spans="1:10" x14ac:dyDescent="0.3">
      <c r="A85" s="1" t="s">
        <v>69</v>
      </c>
      <c r="B85" s="1" t="s">
        <v>15</v>
      </c>
      <c r="C85" s="2">
        <v>45539</v>
      </c>
      <c r="D85" s="1" t="s">
        <v>16</v>
      </c>
      <c r="E85" s="1">
        <v>2613</v>
      </c>
      <c r="F85" s="1">
        <v>455</v>
      </c>
      <c r="G85" s="1">
        <v>228</v>
      </c>
      <c r="H85" s="1">
        <v>21645</v>
      </c>
      <c r="I85" s="4">
        <f>((Table1_1[[#This Row],[Likes]]+Table1_1[[#This Row],[Shares]]+Table1_1[[#This Row],[Comments]])/Table1_1[[#This Row],[Impressions]])*100</f>
        <v>15.227535227535228</v>
      </c>
      <c r="J85" s="3" t="s">
        <v>13</v>
      </c>
    </row>
    <row r="86" spans="1:10" x14ac:dyDescent="0.3">
      <c r="A86" s="1" t="s">
        <v>69</v>
      </c>
      <c r="B86" s="1" t="s">
        <v>15</v>
      </c>
      <c r="C86" s="2">
        <v>45539</v>
      </c>
      <c r="D86" s="1" t="s">
        <v>16</v>
      </c>
      <c r="E86" s="1">
        <v>2613</v>
      </c>
      <c r="F86" s="1">
        <v>455</v>
      </c>
      <c r="G86" s="1">
        <v>228</v>
      </c>
      <c r="H86" s="1">
        <v>21645</v>
      </c>
      <c r="I86" s="4">
        <f>((Table1_1[[#This Row],[Likes]]+Table1_1[[#This Row],[Shares]]+Table1_1[[#This Row],[Comments]])/Table1_1[[#This Row],[Impressions]])*100</f>
        <v>15.227535227535228</v>
      </c>
      <c r="J86" s="3" t="s">
        <v>319</v>
      </c>
    </row>
    <row r="87" spans="1:10" x14ac:dyDescent="0.3">
      <c r="A87" s="1" t="s">
        <v>70</v>
      </c>
      <c r="B87" s="1" t="s">
        <v>15</v>
      </c>
      <c r="C87" s="2">
        <v>45516</v>
      </c>
      <c r="D87" s="1" t="s">
        <v>16</v>
      </c>
      <c r="E87" s="1">
        <v>2842</v>
      </c>
      <c r="F87" s="1">
        <v>213</v>
      </c>
      <c r="G87" s="1">
        <v>331</v>
      </c>
      <c r="H87" s="1">
        <v>57660</v>
      </c>
      <c r="I87" s="4">
        <f>((Table1_1[[#This Row],[Likes]]+Table1_1[[#This Row],[Shares]]+Table1_1[[#This Row],[Comments]])/Table1_1[[#This Row],[Impressions]])*100</f>
        <v>5.8723551855705862</v>
      </c>
      <c r="J87" s="3" t="s">
        <v>319</v>
      </c>
    </row>
    <row r="88" spans="1:10" x14ac:dyDescent="0.3">
      <c r="A88" s="1" t="s">
        <v>70</v>
      </c>
      <c r="B88" s="1" t="s">
        <v>15</v>
      </c>
      <c r="C88" s="2">
        <v>45516</v>
      </c>
      <c r="D88" s="1" t="s">
        <v>16</v>
      </c>
      <c r="E88" s="1">
        <v>2842</v>
      </c>
      <c r="F88" s="1">
        <v>213</v>
      </c>
      <c r="G88" s="1">
        <v>331</v>
      </c>
      <c r="H88" s="1">
        <v>57660</v>
      </c>
      <c r="I88" s="4">
        <f>((Table1_1[[#This Row],[Likes]]+Table1_1[[#This Row],[Shares]]+Table1_1[[#This Row],[Comments]])/Table1_1[[#This Row],[Impressions]])*100</f>
        <v>5.8723551855705862</v>
      </c>
      <c r="J88" s="3" t="s">
        <v>24</v>
      </c>
    </row>
    <row r="89" spans="1:10" x14ac:dyDescent="0.3">
      <c r="A89" s="1" t="s">
        <v>71</v>
      </c>
      <c r="B89" s="1" t="s">
        <v>10</v>
      </c>
      <c r="C89" s="2">
        <v>45722</v>
      </c>
      <c r="D89" s="1" t="s">
        <v>11</v>
      </c>
      <c r="E89" s="1">
        <v>4851</v>
      </c>
      <c r="F89" s="1">
        <v>460</v>
      </c>
      <c r="G89" s="1">
        <v>212</v>
      </c>
      <c r="H89" s="1">
        <v>58075</v>
      </c>
      <c r="I89" s="4">
        <f>((Table1_1[[#This Row],[Likes]]+Table1_1[[#This Row],[Shares]]+Table1_1[[#This Row],[Comments]])/Table1_1[[#This Row],[Impressions]])*100</f>
        <v>9.5101162290142049</v>
      </c>
      <c r="J89" s="3" t="s">
        <v>13</v>
      </c>
    </row>
    <row r="90" spans="1:10" x14ac:dyDescent="0.3">
      <c r="A90" s="1" t="s">
        <v>72</v>
      </c>
      <c r="B90" s="1" t="s">
        <v>15</v>
      </c>
      <c r="C90" s="2">
        <v>45420</v>
      </c>
      <c r="D90" s="1" t="s">
        <v>11</v>
      </c>
      <c r="E90" s="1">
        <v>1828</v>
      </c>
      <c r="F90" s="1">
        <v>450</v>
      </c>
      <c r="G90" s="1">
        <v>214</v>
      </c>
      <c r="H90" s="1">
        <v>52115</v>
      </c>
      <c r="I90" s="4">
        <f>((Table1_1[[#This Row],[Likes]]+Table1_1[[#This Row],[Shares]]+Table1_1[[#This Row],[Comments]])/Table1_1[[#This Row],[Impressions]])*100</f>
        <v>4.7817327065144388</v>
      </c>
      <c r="J90" s="3" t="s">
        <v>24</v>
      </c>
    </row>
    <row r="91" spans="1:10" x14ac:dyDescent="0.3">
      <c r="A91" s="1" t="s">
        <v>73</v>
      </c>
      <c r="B91" s="1" t="s">
        <v>10</v>
      </c>
      <c r="C91" s="2">
        <v>45707</v>
      </c>
      <c r="D91" s="1" t="s">
        <v>16</v>
      </c>
      <c r="E91" s="1">
        <v>2422</v>
      </c>
      <c r="F91" s="1">
        <v>455</v>
      </c>
      <c r="G91" s="1">
        <v>376</v>
      </c>
      <c r="H91" s="1">
        <v>23428</v>
      </c>
      <c r="I91" s="4">
        <f>((Table1_1[[#This Row],[Likes]]+Table1_1[[#This Row],[Shares]]+Table1_1[[#This Row],[Comments]])/Table1_1[[#This Row],[Impressions]])*100</f>
        <v>13.885094758408743</v>
      </c>
      <c r="J91" s="3" t="s">
        <v>24</v>
      </c>
    </row>
    <row r="92" spans="1:10" x14ac:dyDescent="0.3">
      <c r="A92" s="1" t="s">
        <v>74</v>
      </c>
      <c r="B92" s="1" t="s">
        <v>10</v>
      </c>
      <c r="C92" s="2">
        <v>45299</v>
      </c>
      <c r="D92" s="1" t="s">
        <v>11</v>
      </c>
      <c r="E92" s="1">
        <v>2683</v>
      </c>
      <c r="F92" s="1">
        <v>405</v>
      </c>
      <c r="G92" s="1">
        <v>223</v>
      </c>
      <c r="H92" s="1">
        <v>31233</v>
      </c>
      <c r="I92" s="4">
        <f>((Table1_1[[#This Row],[Likes]]+Table1_1[[#This Row],[Shares]]+Table1_1[[#This Row],[Comments]])/Table1_1[[#This Row],[Impressions]])*100</f>
        <v>10.600966926007748</v>
      </c>
      <c r="J92" s="3" t="s">
        <v>13</v>
      </c>
    </row>
    <row r="93" spans="1:10" x14ac:dyDescent="0.3">
      <c r="A93" s="1" t="s">
        <v>75</v>
      </c>
      <c r="B93" s="1" t="s">
        <v>19</v>
      </c>
      <c r="C93" s="2">
        <v>45490</v>
      </c>
      <c r="D93" s="1" t="s">
        <v>11</v>
      </c>
      <c r="E93" s="1">
        <v>3135</v>
      </c>
      <c r="F93" s="1">
        <v>110</v>
      </c>
      <c r="G93" s="1">
        <v>215</v>
      </c>
      <c r="H93" s="1">
        <v>39192</v>
      </c>
      <c r="I93" s="4">
        <f>((Table1_1[[#This Row],[Likes]]+Table1_1[[#This Row],[Shares]]+Table1_1[[#This Row],[Comments]])/Table1_1[[#This Row],[Impressions]])*100</f>
        <v>8.8283323127168813</v>
      </c>
      <c r="J93" s="3" t="s">
        <v>13</v>
      </c>
    </row>
    <row r="94" spans="1:10" x14ac:dyDescent="0.3">
      <c r="A94" s="1" t="s">
        <v>75</v>
      </c>
      <c r="B94" s="1" t="s">
        <v>19</v>
      </c>
      <c r="C94" s="2">
        <v>45490</v>
      </c>
      <c r="D94" s="1" t="s">
        <v>11</v>
      </c>
      <c r="E94" s="1">
        <v>3135</v>
      </c>
      <c r="F94" s="1">
        <v>110</v>
      </c>
      <c r="G94" s="1">
        <v>215</v>
      </c>
      <c r="H94" s="1">
        <v>39192</v>
      </c>
      <c r="I94" s="4">
        <f>((Table1_1[[#This Row],[Likes]]+Table1_1[[#This Row],[Shares]]+Table1_1[[#This Row],[Comments]])/Table1_1[[#This Row],[Impressions]])*100</f>
        <v>8.8283323127168813</v>
      </c>
      <c r="J94" s="3" t="s">
        <v>320</v>
      </c>
    </row>
    <row r="95" spans="1:10" x14ac:dyDescent="0.3">
      <c r="A95" s="1" t="s">
        <v>76</v>
      </c>
      <c r="B95" s="1" t="s">
        <v>19</v>
      </c>
      <c r="C95" s="2">
        <v>45514</v>
      </c>
      <c r="D95" s="1" t="s">
        <v>11</v>
      </c>
      <c r="E95" s="1">
        <v>1105</v>
      </c>
      <c r="F95" s="1">
        <v>181</v>
      </c>
      <c r="G95" s="1">
        <v>55</v>
      </c>
      <c r="H95" s="1">
        <v>53581</v>
      </c>
      <c r="I95" s="4">
        <f>((Table1_1[[#This Row],[Likes]]+Table1_1[[#This Row],[Shares]]+Table1_1[[#This Row],[Comments]])/Table1_1[[#This Row],[Impressions]])*100</f>
        <v>2.5027528414923199</v>
      </c>
      <c r="J95" s="3" t="s">
        <v>13</v>
      </c>
    </row>
    <row r="96" spans="1:10" x14ac:dyDescent="0.3">
      <c r="A96" s="1" t="s">
        <v>76</v>
      </c>
      <c r="B96" s="1" t="s">
        <v>19</v>
      </c>
      <c r="C96" s="2">
        <v>45514</v>
      </c>
      <c r="D96" s="1" t="s">
        <v>11</v>
      </c>
      <c r="E96" s="1">
        <v>1105</v>
      </c>
      <c r="F96" s="1">
        <v>181</v>
      </c>
      <c r="G96" s="1">
        <v>55</v>
      </c>
      <c r="H96" s="1">
        <v>53581</v>
      </c>
      <c r="I96" s="4">
        <f>((Table1_1[[#This Row],[Likes]]+Table1_1[[#This Row],[Shares]]+Table1_1[[#This Row],[Comments]])/Table1_1[[#This Row],[Impressions]])*100</f>
        <v>2.5027528414923199</v>
      </c>
      <c r="J96" s="3" t="s">
        <v>320</v>
      </c>
    </row>
    <row r="97" spans="1:10" x14ac:dyDescent="0.3">
      <c r="A97" s="1" t="s">
        <v>77</v>
      </c>
      <c r="B97" s="1" t="s">
        <v>19</v>
      </c>
      <c r="C97" s="2">
        <v>45398</v>
      </c>
      <c r="D97" s="1" t="s">
        <v>11</v>
      </c>
      <c r="E97" s="1">
        <v>4674</v>
      </c>
      <c r="F97" s="1">
        <v>326</v>
      </c>
      <c r="G97" s="1">
        <v>62</v>
      </c>
      <c r="H97" s="1">
        <v>45503</v>
      </c>
      <c r="I97" s="4">
        <f>((Table1_1[[#This Row],[Likes]]+Table1_1[[#This Row],[Shares]]+Table1_1[[#This Row],[Comments]])/Table1_1[[#This Row],[Impressions]])*100</f>
        <v>11.124541239039184</v>
      </c>
      <c r="J97" s="3" t="s">
        <v>13</v>
      </c>
    </row>
    <row r="98" spans="1:10" x14ac:dyDescent="0.3">
      <c r="A98" s="1" t="s">
        <v>77</v>
      </c>
      <c r="B98" s="1" t="s">
        <v>19</v>
      </c>
      <c r="C98" s="2">
        <v>45398</v>
      </c>
      <c r="D98" s="1" t="s">
        <v>11</v>
      </c>
      <c r="E98" s="1">
        <v>4674</v>
      </c>
      <c r="F98" s="1">
        <v>326</v>
      </c>
      <c r="G98" s="1">
        <v>62</v>
      </c>
      <c r="H98" s="1">
        <v>45503</v>
      </c>
      <c r="I98" s="4">
        <f>((Table1_1[[#This Row],[Likes]]+Table1_1[[#This Row],[Shares]]+Table1_1[[#This Row],[Comments]])/Table1_1[[#This Row],[Impressions]])*100</f>
        <v>11.124541239039184</v>
      </c>
      <c r="J98" s="3" t="s">
        <v>320</v>
      </c>
    </row>
    <row r="99" spans="1:10" x14ac:dyDescent="0.3">
      <c r="A99" s="1" t="s">
        <v>78</v>
      </c>
      <c r="B99" s="1" t="s">
        <v>19</v>
      </c>
      <c r="C99" s="2">
        <v>45292</v>
      </c>
      <c r="D99" s="1" t="s">
        <v>36</v>
      </c>
      <c r="E99" s="1">
        <v>3437</v>
      </c>
      <c r="F99" s="1">
        <v>129</v>
      </c>
      <c r="G99" s="1">
        <v>359</v>
      </c>
      <c r="H99" s="1">
        <v>44558</v>
      </c>
      <c r="I99" s="4">
        <f>((Table1_1[[#This Row],[Likes]]+Table1_1[[#This Row],[Shares]]+Table1_1[[#This Row],[Comments]])/Table1_1[[#This Row],[Impressions]])*100</f>
        <v>8.8087436599488314</v>
      </c>
      <c r="J99" s="3" t="s">
        <v>13</v>
      </c>
    </row>
    <row r="100" spans="1:10" x14ac:dyDescent="0.3">
      <c r="A100" s="1" t="s">
        <v>78</v>
      </c>
      <c r="B100" s="1" t="s">
        <v>19</v>
      </c>
      <c r="C100" s="2">
        <v>45292</v>
      </c>
      <c r="D100" s="1" t="s">
        <v>36</v>
      </c>
      <c r="E100" s="1">
        <v>3437</v>
      </c>
      <c r="F100" s="1">
        <v>129</v>
      </c>
      <c r="G100" s="1">
        <v>359</v>
      </c>
      <c r="H100" s="1">
        <v>44558</v>
      </c>
      <c r="I100" s="4">
        <f>((Table1_1[[#This Row],[Likes]]+Table1_1[[#This Row],[Shares]]+Table1_1[[#This Row],[Comments]])/Table1_1[[#This Row],[Impressions]])*100</f>
        <v>8.8087436599488314</v>
      </c>
      <c r="J100" s="3" t="s">
        <v>27</v>
      </c>
    </row>
    <row r="101" spans="1:10" x14ac:dyDescent="0.3">
      <c r="A101" s="1" t="s">
        <v>79</v>
      </c>
      <c r="B101" s="1" t="s">
        <v>15</v>
      </c>
      <c r="C101" s="2">
        <v>45599</v>
      </c>
      <c r="D101" s="1" t="s">
        <v>16</v>
      </c>
      <c r="E101" s="1">
        <v>1959</v>
      </c>
      <c r="F101" s="1">
        <v>316</v>
      </c>
      <c r="G101" s="1">
        <v>82</v>
      </c>
      <c r="H101" s="1">
        <v>54036</v>
      </c>
      <c r="I101" s="4">
        <f>((Table1_1[[#This Row],[Likes]]+Table1_1[[#This Row],[Shares]]+Table1_1[[#This Row],[Comments]])/Table1_1[[#This Row],[Impressions]])*100</f>
        <v>4.3619068768968834</v>
      </c>
      <c r="J101" s="3" t="s">
        <v>319</v>
      </c>
    </row>
    <row r="102" spans="1:10" x14ac:dyDescent="0.3">
      <c r="A102" s="1" t="s">
        <v>79</v>
      </c>
      <c r="B102" s="1" t="s">
        <v>15</v>
      </c>
      <c r="C102" s="2">
        <v>45599</v>
      </c>
      <c r="D102" s="1" t="s">
        <v>16</v>
      </c>
      <c r="E102" s="1">
        <v>1959</v>
      </c>
      <c r="F102" s="1">
        <v>316</v>
      </c>
      <c r="G102" s="1">
        <v>82</v>
      </c>
      <c r="H102" s="1">
        <v>54036</v>
      </c>
      <c r="I102" s="4">
        <f>((Table1_1[[#This Row],[Likes]]+Table1_1[[#This Row],[Shares]]+Table1_1[[#This Row],[Comments]])/Table1_1[[#This Row],[Impressions]])*100</f>
        <v>4.3619068768968834</v>
      </c>
      <c r="J102" s="3" t="s">
        <v>24</v>
      </c>
    </row>
    <row r="103" spans="1:10" x14ac:dyDescent="0.3">
      <c r="A103" s="1" t="s">
        <v>80</v>
      </c>
      <c r="B103" s="1" t="s">
        <v>15</v>
      </c>
      <c r="C103" s="2">
        <v>45480</v>
      </c>
      <c r="D103" s="1" t="s">
        <v>11</v>
      </c>
      <c r="E103" s="1">
        <v>1035</v>
      </c>
      <c r="F103" s="1">
        <v>137</v>
      </c>
      <c r="G103" s="1">
        <v>184</v>
      </c>
      <c r="H103" s="1">
        <v>37302</v>
      </c>
      <c r="I103" s="4">
        <f>((Table1_1[[#This Row],[Likes]]+Table1_1[[#This Row],[Shares]]+Table1_1[[#This Row],[Comments]])/Table1_1[[#This Row],[Impressions]])*100</f>
        <v>3.6351938233874859</v>
      </c>
      <c r="J103" s="3" t="s">
        <v>27</v>
      </c>
    </row>
    <row r="104" spans="1:10" x14ac:dyDescent="0.3">
      <c r="A104" s="1" t="s">
        <v>81</v>
      </c>
      <c r="B104" s="1" t="s">
        <v>15</v>
      </c>
      <c r="C104" s="2">
        <v>45679</v>
      </c>
      <c r="D104" s="1" t="s">
        <v>16</v>
      </c>
      <c r="E104" s="1">
        <v>4478</v>
      </c>
      <c r="F104" s="1">
        <v>101</v>
      </c>
      <c r="G104" s="1">
        <v>121</v>
      </c>
      <c r="H104" s="1">
        <v>51035</v>
      </c>
      <c r="I104" s="4">
        <f>((Table1_1[[#This Row],[Likes]]+Table1_1[[#This Row],[Shares]]+Table1_1[[#This Row],[Comments]])/Table1_1[[#This Row],[Impressions]])*100</f>
        <v>9.2093661212893121</v>
      </c>
      <c r="J104" s="3" t="s">
        <v>319</v>
      </c>
    </row>
    <row r="105" spans="1:10" x14ac:dyDescent="0.3">
      <c r="A105" s="1" t="s">
        <v>81</v>
      </c>
      <c r="B105" s="1" t="s">
        <v>15</v>
      </c>
      <c r="C105" s="2">
        <v>45679</v>
      </c>
      <c r="D105" s="1" t="s">
        <v>16</v>
      </c>
      <c r="E105" s="1">
        <v>4478</v>
      </c>
      <c r="F105" s="1">
        <v>101</v>
      </c>
      <c r="G105" s="1">
        <v>121</v>
      </c>
      <c r="H105" s="1">
        <v>51035</v>
      </c>
      <c r="I105" s="4">
        <f>((Table1_1[[#This Row],[Likes]]+Table1_1[[#This Row],[Shares]]+Table1_1[[#This Row],[Comments]])/Table1_1[[#This Row],[Impressions]])*100</f>
        <v>9.2093661212893121</v>
      </c>
      <c r="J105" s="3" t="s">
        <v>24</v>
      </c>
    </row>
    <row r="106" spans="1:10" x14ac:dyDescent="0.3">
      <c r="A106" s="1" t="s">
        <v>82</v>
      </c>
      <c r="B106" s="1" t="s">
        <v>19</v>
      </c>
      <c r="C106" s="2">
        <v>45438</v>
      </c>
      <c r="D106" s="1" t="s">
        <v>11</v>
      </c>
      <c r="E106" s="1">
        <v>1488</v>
      </c>
      <c r="F106" s="1">
        <v>327</v>
      </c>
      <c r="G106" s="1">
        <v>110</v>
      </c>
      <c r="H106" s="1">
        <v>53805</v>
      </c>
      <c r="I106" s="4">
        <f>((Table1_1[[#This Row],[Likes]]+Table1_1[[#This Row],[Shares]]+Table1_1[[#This Row],[Comments]])/Table1_1[[#This Row],[Impressions]])*100</f>
        <v>3.5777344113000655</v>
      </c>
      <c r="J106" s="3" t="s">
        <v>13</v>
      </c>
    </row>
    <row r="107" spans="1:10" x14ac:dyDescent="0.3">
      <c r="A107" s="1" t="s">
        <v>82</v>
      </c>
      <c r="B107" s="1" t="s">
        <v>19</v>
      </c>
      <c r="C107" s="2">
        <v>45438</v>
      </c>
      <c r="D107" s="1" t="s">
        <v>11</v>
      </c>
      <c r="E107" s="1">
        <v>1488</v>
      </c>
      <c r="F107" s="1">
        <v>327</v>
      </c>
      <c r="G107" s="1">
        <v>110</v>
      </c>
      <c r="H107" s="1">
        <v>53805</v>
      </c>
      <c r="I107" s="4">
        <f>((Table1_1[[#This Row],[Likes]]+Table1_1[[#This Row],[Shares]]+Table1_1[[#This Row],[Comments]])/Table1_1[[#This Row],[Impressions]])*100</f>
        <v>3.5777344113000655</v>
      </c>
      <c r="J107" s="3" t="s">
        <v>320</v>
      </c>
    </row>
    <row r="108" spans="1:10" x14ac:dyDescent="0.3">
      <c r="A108" s="1" t="s">
        <v>83</v>
      </c>
      <c r="B108" s="1" t="s">
        <v>10</v>
      </c>
      <c r="C108" s="2">
        <v>45763</v>
      </c>
      <c r="D108" s="1" t="s">
        <v>11</v>
      </c>
      <c r="E108" s="1">
        <v>4836</v>
      </c>
      <c r="F108" s="1">
        <v>331</v>
      </c>
      <c r="G108" s="1">
        <v>140</v>
      </c>
      <c r="H108" s="1">
        <v>58792</v>
      </c>
      <c r="I108" s="4">
        <f>((Table1_1[[#This Row],[Likes]]+Table1_1[[#This Row],[Shares]]+Table1_1[[#This Row],[Comments]])/Table1_1[[#This Row],[Impressions]])*100</f>
        <v>9.0267383317458165</v>
      </c>
      <c r="J108" s="3" t="s">
        <v>27</v>
      </c>
    </row>
    <row r="109" spans="1:10" x14ac:dyDescent="0.3">
      <c r="A109" s="1" t="s">
        <v>83</v>
      </c>
      <c r="B109" s="1" t="s">
        <v>10</v>
      </c>
      <c r="C109" s="2">
        <v>45763</v>
      </c>
      <c r="D109" s="1" t="s">
        <v>11</v>
      </c>
      <c r="E109" s="1">
        <v>4836</v>
      </c>
      <c r="F109" s="1">
        <v>331</v>
      </c>
      <c r="G109" s="1">
        <v>140</v>
      </c>
      <c r="H109" s="1">
        <v>58792</v>
      </c>
      <c r="I109" s="4">
        <f>((Table1_1[[#This Row],[Likes]]+Table1_1[[#This Row],[Shares]]+Table1_1[[#This Row],[Comments]])/Table1_1[[#This Row],[Impressions]])*100</f>
        <v>9.0267383317458165</v>
      </c>
      <c r="J109" s="3" t="s">
        <v>24</v>
      </c>
    </row>
    <row r="110" spans="1:10" x14ac:dyDescent="0.3">
      <c r="A110" s="1" t="s">
        <v>84</v>
      </c>
      <c r="B110" s="1" t="s">
        <v>19</v>
      </c>
      <c r="C110" s="2">
        <v>45384</v>
      </c>
      <c r="D110" s="1" t="s">
        <v>36</v>
      </c>
      <c r="E110" s="1">
        <v>4563</v>
      </c>
      <c r="F110" s="1">
        <v>488</v>
      </c>
      <c r="G110" s="1">
        <v>356</v>
      </c>
      <c r="H110" s="1">
        <v>30619</v>
      </c>
      <c r="I110" s="4">
        <f>((Table1_1[[#This Row],[Likes]]+Table1_1[[#This Row],[Shares]]+Table1_1[[#This Row],[Comments]])/Table1_1[[#This Row],[Impressions]])*100</f>
        <v>17.658969920637514</v>
      </c>
      <c r="J110" s="3" t="s">
        <v>13</v>
      </c>
    </row>
    <row r="111" spans="1:10" x14ac:dyDescent="0.3">
      <c r="A111" s="1" t="s">
        <v>84</v>
      </c>
      <c r="B111" s="1" t="s">
        <v>19</v>
      </c>
      <c r="C111" s="2">
        <v>45384</v>
      </c>
      <c r="D111" s="1" t="s">
        <v>36</v>
      </c>
      <c r="E111" s="1">
        <v>4563</v>
      </c>
      <c r="F111" s="1">
        <v>488</v>
      </c>
      <c r="G111" s="1">
        <v>356</v>
      </c>
      <c r="H111" s="1">
        <v>30619</v>
      </c>
      <c r="I111" s="4">
        <f>((Table1_1[[#This Row],[Likes]]+Table1_1[[#This Row],[Shares]]+Table1_1[[#This Row],[Comments]])/Table1_1[[#This Row],[Impressions]])*100</f>
        <v>17.658969920637514</v>
      </c>
      <c r="J111" s="3" t="s">
        <v>27</v>
      </c>
    </row>
    <row r="112" spans="1:10" x14ac:dyDescent="0.3">
      <c r="A112" s="1" t="s">
        <v>85</v>
      </c>
      <c r="B112" s="1" t="s">
        <v>15</v>
      </c>
      <c r="C112" s="2">
        <v>45379</v>
      </c>
      <c r="D112" s="1" t="s">
        <v>11</v>
      </c>
      <c r="E112" s="1">
        <v>3276</v>
      </c>
      <c r="F112" s="1">
        <v>421</v>
      </c>
      <c r="G112" s="1">
        <v>114</v>
      </c>
      <c r="H112" s="1">
        <v>20580</v>
      </c>
      <c r="I112" s="4">
        <f>((Table1_1[[#This Row],[Likes]]+Table1_1[[#This Row],[Shares]]+Table1_1[[#This Row],[Comments]])/Table1_1[[#This Row],[Impressions]])*100</f>
        <v>18.517978620019438</v>
      </c>
      <c r="J112" s="3" t="s">
        <v>27</v>
      </c>
    </row>
    <row r="113" spans="1:10" x14ac:dyDescent="0.3">
      <c r="A113" s="1" t="s">
        <v>86</v>
      </c>
      <c r="B113" s="1" t="s">
        <v>15</v>
      </c>
      <c r="C113" s="2">
        <v>45643</v>
      </c>
      <c r="D113" s="1" t="s">
        <v>16</v>
      </c>
      <c r="E113" s="1">
        <v>1316</v>
      </c>
      <c r="F113" s="1">
        <v>472</v>
      </c>
      <c r="G113" s="1">
        <v>286</v>
      </c>
      <c r="H113" s="1">
        <v>44692</v>
      </c>
      <c r="I113" s="4">
        <f>((Table1_1[[#This Row],[Likes]]+Table1_1[[#This Row],[Shares]]+Table1_1[[#This Row],[Comments]])/Table1_1[[#This Row],[Impressions]])*100</f>
        <v>4.6406515707509168</v>
      </c>
      <c r="J113" s="3" t="s">
        <v>13</v>
      </c>
    </row>
    <row r="114" spans="1:10" x14ac:dyDescent="0.3">
      <c r="A114" s="1" t="s">
        <v>86</v>
      </c>
      <c r="B114" s="1" t="s">
        <v>15</v>
      </c>
      <c r="C114" s="2">
        <v>45643</v>
      </c>
      <c r="D114" s="1" t="s">
        <v>16</v>
      </c>
      <c r="E114" s="1">
        <v>1316</v>
      </c>
      <c r="F114" s="1">
        <v>472</v>
      </c>
      <c r="G114" s="1">
        <v>286</v>
      </c>
      <c r="H114" s="1">
        <v>44692</v>
      </c>
      <c r="I114" s="4">
        <f>((Table1_1[[#This Row],[Likes]]+Table1_1[[#This Row],[Shares]]+Table1_1[[#This Row],[Comments]])/Table1_1[[#This Row],[Impressions]])*100</f>
        <v>4.6406515707509168</v>
      </c>
      <c r="J114" s="3" t="s">
        <v>319</v>
      </c>
    </row>
    <row r="115" spans="1:10" x14ac:dyDescent="0.3">
      <c r="A115" s="1" t="s">
        <v>87</v>
      </c>
      <c r="B115" s="1" t="s">
        <v>15</v>
      </c>
      <c r="C115" s="2">
        <v>45662</v>
      </c>
      <c r="D115" s="1" t="s">
        <v>11</v>
      </c>
      <c r="E115" s="1">
        <v>4811</v>
      </c>
      <c r="F115" s="1">
        <v>473</v>
      </c>
      <c r="G115" s="1">
        <v>254</v>
      </c>
      <c r="H115" s="1">
        <v>51964</v>
      </c>
      <c r="I115" s="4">
        <f>((Table1_1[[#This Row],[Likes]]+Table1_1[[#This Row],[Shares]]+Table1_1[[#This Row],[Comments]])/Table1_1[[#This Row],[Impressions]])*100</f>
        <v>10.657378184897237</v>
      </c>
      <c r="J115" s="3" t="s">
        <v>24</v>
      </c>
    </row>
    <row r="116" spans="1:10" x14ac:dyDescent="0.3">
      <c r="A116" s="1" t="s">
        <v>88</v>
      </c>
      <c r="B116" s="1" t="s">
        <v>15</v>
      </c>
      <c r="C116" s="2">
        <v>45302</v>
      </c>
      <c r="D116" s="1" t="s">
        <v>11</v>
      </c>
      <c r="E116" s="1">
        <v>4218</v>
      </c>
      <c r="F116" s="1">
        <v>247</v>
      </c>
      <c r="G116" s="1">
        <v>183</v>
      </c>
      <c r="H116" s="1">
        <v>28914</v>
      </c>
      <c r="I116" s="4">
        <f>((Table1_1[[#This Row],[Likes]]+Table1_1[[#This Row],[Shares]]+Table1_1[[#This Row],[Comments]])/Table1_1[[#This Row],[Impressions]])*100</f>
        <v>16.07525766064882</v>
      </c>
      <c r="J116" s="3" t="s">
        <v>27</v>
      </c>
    </row>
    <row r="117" spans="1:10" x14ac:dyDescent="0.3">
      <c r="A117" s="1" t="s">
        <v>89</v>
      </c>
      <c r="B117" s="1" t="s">
        <v>10</v>
      </c>
      <c r="C117" s="2">
        <v>45576</v>
      </c>
      <c r="D117" s="1" t="s">
        <v>11</v>
      </c>
      <c r="E117" s="1">
        <v>1360</v>
      </c>
      <c r="F117" s="1">
        <v>249</v>
      </c>
      <c r="G117" s="1">
        <v>52</v>
      </c>
      <c r="H117" s="1">
        <v>20368</v>
      </c>
      <c r="I117" s="4">
        <f>((Table1_1[[#This Row],[Likes]]+Table1_1[[#This Row],[Shares]]+Table1_1[[#This Row],[Comments]])/Table1_1[[#This Row],[Impressions]])*100</f>
        <v>8.1549489395129608</v>
      </c>
      <c r="J117" s="3" t="s">
        <v>13</v>
      </c>
    </row>
    <row r="118" spans="1:10" x14ac:dyDescent="0.3">
      <c r="A118" s="1" t="s">
        <v>90</v>
      </c>
      <c r="B118" s="1" t="s">
        <v>19</v>
      </c>
      <c r="C118" s="2">
        <v>45783</v>
      </c>
      <c r="D118" s="1" t="s">
        <v>36</v>
      </c>
      <c r="E118" s="1">
        <v>1085</v>
      </c>
      <c r="F118" s="1">
        <v>496</v>
      </c>
      <c r="G118" s="1">
        <v>320</v>
      </c>
      <c r="H118" s="1">
        <v>36528</v>
      </c>
      <c r="I118" s="4">
        <f>((Table1_1[[#This Row],[Likes]]+Table1_1[[#This Row],[Shares]]+Table1_1[[#This Row],[Comments]])/Table1_1[[#This Row],[Impressions]])*100</f>
        <v>5.2042268944371441</v>
      </c>
      <c r="J118" s="3" t="s">
        <v>13</v>
      </c>
    </row>
    <row r="119" spans="1:10" x14ac:dyDescent="0.3">
      <c r="A119" s="1" t="s">
        <v>90</v>
      </c>
      <c r="B119" s="1" t="s">
        <v>19</v>
      </c>
      <c r="C119" s="2">
        <v>45783</v>
      </c>
      <c r="D119" s="1" t="s">
        <v>36</v>
      </c>
      <c r="E119" s="1">
        <v>1085</v>
      </c>
      <c r="F119" s="1">
        <v>496</v>
      </c>
      <c r="G119" s="1">
        <v>320</v>
      </c>
      <c r="H119" s="1">
        <v>36528</v>
      </c>
      <c r="I119" s="4">
        <f>((Table1_1[[#This Row],[Likes]]+Table1_1[[#This Row],[Shares]]+Table1_1[[#This Row],[Comments]])/Table1_1[[#This Row],[Impressions]])*100</f>
        <v>5.2042268944371441</v>
      </c>
      <c r="J119" s="3" t="s">
        <v>27</v>
      </c>
    </row>
    <row r="120" spans="1:10" x14ac:dyDescent="0.3">
      <c r="A120" s="1" t="s">
        <v>91</v>
      </c>
      <c r="B120" s="1" t="s">
        <v>15</v>
      </c>
      <c r="C120" s="2">
        <v>45431</v>
      </c>
      <c r="D120" s="1" t="s">
        <v>16</v>
      </c>
      <c r="E120" s="1">
        <v>1763</v>
      </c>
      <c r="F120" s="1">
        <v>206</v>
      </c>
      <c r="G120" s="1">
        <v>187</v>
      </c>
      <c r="H120" s="1">
        <v>53342</v>
      </c>
      <c r="I120" s="4">
        <f>((Table1_1[[#This Row],[Likes]]+Table1_1[[#This Row],[Shares]]+Table1_1[[#This Row],[Comments]])/Table1_1[[#This Row],[Impressions]])*100</f>
        <v>4.0418432004799225</v>
      </c>
      <c r="J120" s="3" t="s">
        <v>13</v>
      </c>
    </row>
    <row r="121" spans="1:10" x14ac:dyDescent="0.3">
      <c r="A121" s="1" t="s">
        <v>91</v>
      </c>
      <c r="B121" s="1" t="s">
        <v>15</v>
      </c>
      <c r="C121" s="2">
        <v>45431</v>
      </c>
      <c r="D121" s="1" t="s">
        <v>16</v>
      </c>
      <c r="E121" s="1">
        <v>1763</v>
      </c>
      <c r="F121" s="1">
        <v>206</v>
      </c>
      <c r="G121" s="1">
        <v>187</v>
      </c>
      <c r="H121" s="1">
        <v>53342</v>
      </c>
      <c r="I121" s="4">
        <f>((Table1_1[[#This Row],[Likes]]+Table1_1[[#This Row],[Shares]]+Table1_1[[#This Row],[Comments]])/Table1_1[[#This Row],[Impressions]])*100</f>
        <v>4.0418432004799225</v>
      </c>
      <c r="J121" s="3" t="s">
        <v>319</v>
      </c>
    </row>
    <row r="122" spans="1:10" x14ac:dyDescent="0.3">
      <c r="A122" s="1" t="s">
        <v>92</v>
      </c>
      <c r="B122" s="1" t="s">
        <v>15</v>
      </c>
      <c r="C122" s="2">
        <v>45313</v>
      </c>
      <c r="D122" s="1" t="s">
        <v>16</v>
      </c>
      <c r="E122" s="1">
        <v>1554</v>
      </c>
      <c r="F122" s="1">
        <v>455</v>
      </c>
      <c r="G122" s="1">
        <v>158</v>
      </c>
      <c r="H122" s="1">
        <v>41947</v>
      </c>
      <c r="I122" s="4">
        <f>((Table1_1[[#This Row],[Likes]]+Table1_1[[#This Row],[Shares]]+Table1_1[[#This Row],[Comments]])/Table1_1[[#This Row],[Impressions]])*100</f>
        <v>5.1660428636136073</v>
      </c>
      <c r="J122" s="3" t="s">
        <v>27</v>
      </c>
    </row>
    <row r="123" spans="1:10" x14ac:dyDescent="0.3">
      <c r="A123" s="1" t="s">
        <v>92</v>
      </c>
      <c r="B123" s="1" t="s">
        <v>15</v>
      </c>
      <c r="C123" s="2">
        <v>45313</v>
      </c>
      <c r="D123" s="1" t="s">
        <v>16</v>
      </c>
      <c r="E123" s="1">
        <v>1554</v>
      </c>
      <c r="F123" s="1">
        <v>455</v>
      </c>
      <c r="G123" s="1">
        <v>158</v>
      </c>
      <c r="H123" s="1">
        <v>41947</v>
      </c>
      <c r="I123" s="4">
        <f>((Table1_1[[#This Row],[Likes]]+Table1_1[[#This Row],[Shares]]+Table1_1[[#This Row],[Comments]])/Table1_1[[#This Row],[Impressions]])*100</f>
        <v>5.1660428636136073</v>
      </c>
      <c r="J123" s="3" t="s">
        <v>24</v>
      </c>
    </row>
    <row r="124" spans="1:10" x14ac:dyDescent="0.3">
      <c r="A124" s="1" t="s">
        <v>93</v>
      </c>
      <c r="B124" s="1" t="s">
        <v>10</v>
      </c>
      <c r="C124" s="2">
        <v>45487</v>
      </c>
      <c r="D124" s="1" t="s">
        <v>11</v>
      </c>
      <c r="E124" s="1">
        <v>2464</v>
      </c>
      <c r="F124" s="1">
        <v>401</v>
      </c>
      <c r="G124" s="1">
        <v>78</v>
      </c>
      <c r="H124" s="1">
        <v>38665</v>
      </c>
      <c r="I124" s="4">
        <f>((Table1_1[[#This Row],[Likes]]+Table1_1[[#This Row],[Shares]]+Table1_1[[#This Row],[Comments]])/Table1_1[[#This Row],[Impressions]])*100</f>
        <v>7.6115349799560317</v>
      </c>
      <c r="J124" s="3" t="s">
        <v>13</v>
      </c>
    </row>
    <row r="125" spans="1:10" x14ac:dyDescent="0.3">
      <c r="A125" s="1" t="s">
        <v>94</v>
      </c>
      <c r="B125" s="1" t="s">
        <v>15</v>
      </c>
      <c r="C125" s="2">
        <v>45805</v>
      </c>
      <c r="D125" s="1" t="s">
        <v>11</v>
      </c>
      <c r="E125" s="1">
        <v>2418</v>
      </c>
      <c r="F125" s="1">
        <v>161</v>
      </c>
      <c r="G125" s="1">
        <v>360</v>
      </c>
      <c r="H125" s="1">
        <v>30589</v>
      </c>
      <c r="I125" s="4">
        <f>((Table1_1[[#This Row],[Likes]]+Table1_1[[#This Row],[Shares]]+Table1_1[[#This Row],[Comments]])/Table1_1[[#This Row],[Impressions]])*100</f>
        <v>9.6080290300434807</v>
      </c>
      <c r="J125" s="3" t="s">
        <v>24</v>
      </c>
    </row>
    <row r="126" spans="1:10" x14ac:dyDescent="0.3">
      <c r="A126" s="1" t="s">
        <v>95</v>
      </c>
      <c r="B126" s="1" t="s">
        <v>15</v>
      </c>
      <c r="C126" s="2">
        <v>45678</v>
      </c>
      <c r="D126" s="1" t="s">
        <v>16</v>
      </c>
      <c r="E126" s="1">
        <v>2494</v>
      </c>
      <c r="F126" s="1">
        <v>494</v>
      </c>
      <c r="G126" s="1">
        <v>55</v>
      </c>
      <c r="H126" s="1">
        <v>22580</v>
      </c>
      <c r="I126" s="4">
        <f>((Table1_1[[#This Row],[Likes]]+Table1_1[[#This Row],[Shares]]+Table1_1[[#This Row],[Comments]])/Table1_1[[#This Row],[Impressions]])*100</f>
        <v>13.476527900797167</v>
      </c>
      <c r="J126" s="3" t="s">
        <v>319</v>
      </c>
    </row>
    <row r="127" spans="1:10" x14ac:dyDescent="0.3">
      <c r="A127" s="1" t="s">
        <v>95</v>
      </c>
      <c r="B127" s="1" t="s">
        <v>15</v>
      </c>
      <c r="C127" s="2">
        <v>45678</v>
      </c>
      <c r="D127" s="1" t="s">
        <v>16</v>
      </c>
      <c r="E127" s="1">
        <v>2494</v>
      </c>
      <c r="F127" s="1">
        <v>494</v>
      </c>
      <c r="G127" s="1">
        <v>55</v>
      </c>
      <c r="H127" s="1">
        <v>22580</v>
      </c>
      <c r="I127" s="4">
        <f>((Table1_1[[#This Row],[Likes]]+Table1_1[[#This Row],[Shares]]+Table1_1[[#This Row],[Comments]])/Table1_1[[#This Row],[Impressions]])*100</f>
        <v>13.476527900797167</v>
      </c>
      <c r="J127" s="3" t="s">
        <v>24</v>
      </c>
    </row>
    <row r="128" spans="1:10" x14ac:dyDescent="0.3">
      <c r="A128" s="1" t="s">
        <v>96</v>
      </c>
      <c r="B128" s="1" t="s">
        <v>19</v>
      </c>
      <c r="C128" s="2">
        <v>45304</v>
      </c>
      <c r="D128" s="1" t="s">
        <v>36</v>
      </c>
      <c r="E128" s="1">
        <v>4781</v>
      </c>
      <c r="F128" s="1">
        <v>191</v>
      </c>
      <c r="G128" s="1">
        <v>122</v>
      </c>
      <c r="H128" s="1">
        <v>35535</v>
      </c>
      <c r="I128" s="4">
        <f>((Table1_1[[#This Row],[Likes]]+Table1_1[[#This Row],[Shares]]+Table1_1[[#This Row],[Comments]])/Table1_1[[#This Row],[Impressions]])*100</f>
        <v>14.335162515829463</v>
      </c>
      <c r="J128" s="3" t="s">
        <v>13</v>
      </c>
    </row>
    <row r="129" spans="1:10" x14ac:dyDescent="0.3">
      <c r="A129" s="1" t="s">
        <v>96</v>
      </c>
      <c r="B129" s="1" t="s">
        <v>19</v>
      </c>
      <c r="C129" s="2">
        <v>45304</v>
      </c>
      <c r="D129" s="1" t="s">
        <v>36</v>
      </c>
      <c r="E129" s="1">
        <v>4781</v>
      </c>
      <c r="F129" s="1">
        <v>191</v>
      </c>
      <c r="G129" s="1">
        <v>122</v>
      </c>
      <c r="H129" s="1">
        <v>35535</v>
      </c>
      <c r="I129" s="4">
        <f>((Table1_1[[#This Row],[Likes]]+Table1_1[[#This Row],[Shares]]+Table1_1[[#This Row],[Comments]])/Table1_1[[#This Row],[Impressions]])*100</f>
        <v>14.335162515829463</v>
      </c>
      <c r="J129" s="3" t="s">
        <v>27</v>
      </c>
    </row>
    <row r="130" spans="1:10" x14ac:dyDescent="0.3">
      <c r="A130" s="1" t="s">
        <v>97</v>
      </c>
      <c r="B130" s="1" t="s">
        <v>10</v>
      </c>
      <c r="C130" s="2">
        <v>45825</v>
      </c>
      <c r="D130" s="1" t="s">
        <v>11</v>
      </c>
      <c r="E130" s="1">
        <v>2284</v>
      </c>
      <c r="F130" s="1">
        <v>187</v>
      </c>
      <c r="G130" s="1">
        <v>260</v>
      </c>
      <c r="H130" s="1">
        <v>37400</v>
      </c>
      <c r="I130" s="4">
        <f>((Table1_1[[#This Row],[Likes]]+Table1_1[[#This Row],[Shares]]+Table1_1[[#This Row],[Comments]])/Table1_1[[#This Row],[Impressions]])*100</f>
        <v>7.3021390374331556</v>
      </c>
      <c r="J130" s="3" t="s">
        <v>27</v>
      </c>
    </row>
    <row r="131" spans="1:10" x14ac:dyDescent="0.3">
      <c r="A131" s="1" t="s">
        <v>97</v>
      </c>
      <c r="B131" s="1" t="s">
        <v>10</v>
      </c>
      <c r="C131" s="2">
        <v>45825</v>
      </c>
      <c r="D131" s="1" t="s">
        <v>11</v>
      </c>
      <c r="E131" s="1">
        <v>2284</v>
      </c>
      <c r="F131" s="1">
        <v>187</v>
      </c>
      <c r="G131" s="1">
        <v>260</v>
      </c>
      <c r="H131" s="1">
        <v>37400</v>
      </c>
      <c r="I131" s="4">
        <f>((Table1_1[[#This Row],[Likes]]+Table1_1[[#This Row],[Shares]]+Table1_1[[#This Row],[Comments]])/Table1_1[[#This Row],[Impressions]])*100</f>
        <v>7.3021390374331556</v>
      </c>
      <c r="J131" s="3" t="s">
        <v>24</v>
      </c>
    </row>
    <row r="132" spans="1:10" x14ac:dyDescent="0.3">
      <c r="A132" s="1" t="s">
        <v>98</v>
      </c>
      <c r="B132" s="1" t="s">
        <v>15</v>
      </c>
      <c r="C132" s="2">
        <v>45723</v>
      </c>
      <c r="D132" s="1" t="s">
        <v>11</v>
      </c>
      <c r="E132" s="1">
        <v>4234</v>
      </c>
      <c r="F132" s="1">
        <v>486</v>
      </c>
      <c r="G132" s="1">
        <v>276</v>
      </c>
      <c r="H132" s="1">
        <v>56623</v>
      </c>
      <c r="I132" s="4">
        <f>((Table1_1[[#This Row],[Likes]]+Table1_1[[#This Row],[Shares]]+Table1_1[[#This Row],[Comments]])/Table1_1[[#This Row],[Impressions]])*100</f>
        <v>8.8232696960599046</v>
      </c>
      <c r="J132" s="3" t="s">
        <v>27</v>
      </c>
    </row>
    <row r="133" spans="1:10" x14ac:dyDescent="0.3">
      <c r="A133" s="1" t="s">
        <v>99</v>
      </c>
      <c r="B133" s="1" t="s">
        <v>10</v>
      </c>
      <c r="C133" s="2">
        <v>45530</v>
      </c>
      <c r="D133" s="1" t="s">
        <v>11</v>
      </c>
      <c r="E133" s="1">
        <v>2102</v>
      </c>
      <c r="F133" s="1">
        <v>181</v>
      </c>
      <c r="G133" s="1">
        <v>306</v>
      </c>
      <c r="H133" s="1">
        <v>43650</v>
      </c>
      <c r="I133" s="4">
        <f>((Table1_1[[#This Row],[Likes]]+Table1_1[[#This Row],[Shares]]+Table1_1[[#This Row],[Comments]])/Table1_1[[#This Row],[Impressions]])*100</f>
        <v>5.9312714776632305</v>
      </c>
      <c r="J133" s="3" t="s">
        <v>13</v>
      </c>
    </row>
    <row r="134" spans="1:10" x14ac:dyDescent="0.3">
      <c r="A134" s="1" t="s">
        <v>100</v>
      </c>
      <c r="B134" s="1" t="s">
        <v>15</v>
      </c>
      <c r="C134" s="2">
        <v>45660</v>
      </c>
      <c r="D134" s="1" t="s">
        <v>16</v>
      </c>
      <c r="E134" s="1">
        <v>4845</v>
      </c>
      <c r="F134" s="1">
        <v>158</v>
      </c>
      <c r="G134" s="1">
        <v>84</v>
      </c>
      <c r="H134" s="1">
        <v>34578</v>
      </c>
      <c r="I134" s="4">
        <f>((Table1_1[[#This Row],[Likes]]+Table1_1[[#This Row],[Shares]]+Table1_1[[#This Row],[Comments]])/Table1_1[[#This Row],[Impressions]])*100</f>
        <v>14.711666377465441</v>
      </c>
      <c r="J134" s="3" t="s">
        <v>27</v>
      </c>
    </row>
    <row r="135" spans="1:10" x14ac:dyDescent="0.3">
      <c r="A135" s="1" t="s">
        <v>100</v>
      </c>
      <c r="B135" s="1" t="s">
        <v>15</v>
      </c>
      <c r="C135" s="2">
        <v>45660</v>
      </c>
      <c r="D135" s="1" t="s">
        <v>16</v>
      </c>
      <c r="E135" s="1">
        <v>4845</v>
      </c>
      <c r="F135" s="1">
        <v>158</v>
      </c>
      <c r="G135" s="1">
        <v>84</v>
      </c>
      <c r="H135" s="1">
        <v>34578</v>
      </c>
      <c r="I135" s="4">
        <f>((Table1_1[[#This Row],[Likes]]+Table1_1[[#This Row],[Shares]]+Table1_1[[#This Row],[Comments]])/Table1_1[[#This Row],[Impressions]])*100</f>
        <v>14.711666377465441</v>
      </c>
      <c r="J135" s="3" t="s">
        <v>24</v>
      </c>
    </row>
    <row r="136" spans="1:10" x14ac:dyDescent="0.3">
      <c r="A136" s="1" t="s">
        <v>101</v>
      </c>
      <c r="B136" s="1" t="s">
        <v>15</v>
      </c>
      <c r="C136" s="2">
        <v>45507</v>
      </c>
      <c r="D136" s="1" t="s">
        <v>11</v>
      </c>
      <c r="E136" s="1">
        <v>4247</v>
      </c>
      <c r="F136" s="1">
        <v>390</v>
      </c>
      <c r="G136" s="1">
        <v>213</v>
      </c>
      <c r="H136" s="1">
        <v>29785</v>
      </c>
      <c r="I136" s="4">
        <f>((Table1_1[[#This Row],[Likes]]+Table1_1[[#This Row],[Shares]]+Table1_1[[#This Row],[Comments]])/Table1_1[[#This Row],[Impressions]])*100</f>
        <v>16.283364109451064</v>
      </c>
      <c r="J136" s="3" t="s">
        <v>24</v>
      </c>
    </row>
    <row r="137" spans="1:10" x14ac:dyDescent="0.3">
      <c r="A137" s="1" t="s">
        <v>102</v>
      </c>
      <c r="B137" s="1" t="s">
        <v>10</v>
      </c>
      <c r="C137" s="2">
        <v>45522</v>
      </c>
      <c r="D137" s="1" t="s">
        <v>11</v>
      </c>
      <c r="E137" s="1">
        <v>2965</v>
      </c>
      <c r="F137" s="1">
        <v>328</v>
      </c>
      <c r="G137" s="1">
        <v>171</v>
      </c>
      <c r="H137" s="1">
        <v>57685</v>
      </c>
      <c r="I137" s="4">
        <f>((Table1_1[[#This Row],[Likes]]+Table1_1[[#This Row],[Shares]]+Table1_1[[#This Row],[Comments]])/Table1_1[[#This Row],[Impressions]])*100</f>
        <v>6.005027303458438</v>
      </c>
      <c r="J137" s="3" t="s">
        <v>27</v>
      </c>
    </row>
    <row r="138" spans="1:10" x14ac:dyDescent="0.3">
      <c r="A138" s="1" t="s">
        <v>102</v>
      </c>
      <c r="B138" s="1" t="s">
        <v>10</v>
      </c>
      <c r="C138" s="2">
        <v>45522</v>
      </c>
      <c r="D138" s="1" t="s">
        <v>11</v>
      </c>
      <c r="E138" s="1">
        <v>2965</v>
      </c>
      <c r="F138" s="1">
        <v>328</v>
      </c>
      <c r="G138" s="1">
        <v>171</v>
      </c>
      <c r="H138" s="1">
        <v>57685</v>
      </c>
      <c r="I138" s="4">
        <f>((Table1_1[[#This Row],[Likes]]+Table1_1[[#This Row],[Shares]]+Table1_1[[#This Row],[Comments]])/Table1_1[[#This Row],[Impressions]])*100</f>
        <v>6.005027303458438</v>
      </c>
      <c r="J138" s="3" t="s">
        <v>24</v>
      </c>
    </row>
    <row r="139" spans="1:10" x14ac:dyDescent="0.3">
      <c r="A139" s="1" t="s">
        <v>103</v>
      </c>
      <c r="B139" s="1" t="s">
        <v>15</v>
      </c>
      <c r="C139" s="2">
        <v>45791</v>
      </c>
      <c r="D139" s="1" t="s">
        <v>16</v>
      </c>
      <c r="E139" s="1">
        <v>1371</v>
      </c>
      <c r="F139" s="1">
        <v>139</v>
      </c>
      <c r="G139" s="1">
        <v>96</v>
      </c>
      <c r="H139" s="1">
        <v>36140</v>
      </c>
      <c r="I139" s="4">
        <f>((Table1_1[[#This Row],[Likes]]+Table1_1[[#This Row],[Shares]]+Table1_1[[#This Row],[Comments]])/Table1_1[[#This Row],[Impressions]])*100</f>
        <v>4.4438295517432209</v>
      </c>
      <c r="J139" s="3" t="s">
        <v>27</v>
      </c>
    </row>
    <row r="140" spans="1:10" x14ac:dyDescent="0.3">
      <c r="A140" s="1" t="s">
        <v>103</v>
      </c>
      <c r="B140" s="1" t="s">
        <v>15</v>
      </c>
      <c r="C140" s="2">
        <v>45791</v>
      </c>
      <c r="D140" s="1" t="s">
        <v>16</v>
      </c>
      <c r="E140" s="1">
        <v>1371</v>
      </c>
      <c r="F140" s="1">
        <v>139</v>
      </c>
      <c r="G140" s="1">
        <v>96</v>
      </c>
      <c r="H140" s="1">
        <v>36140</v>
      </c>
      <c r="I140" s="4">
        <f>((Table1_1[[#This Row],[Likes]]+Table1_1[[#This Row],[Shares]]+Table1_1[[#This Row],[Comments]])/Table1_1[[#This Row],[Impressions]])*100</f>
        <v>4.4438295517432209</v>
      </c>
      <c r="J140" s="3" t="s">
        <v>24</v>
      </c>
    </row>
    <row r="141" spans="1:10" x14ac:dyDescent="0.3">
      <c r="A141" s="1" t="s">
        <v>104</v>
      </c>
      <c r="B141" s="1" t="s">
        <v>15</v>
      </c>
      <c r="C141" s="2">
        <v>45405</v>
      </c>
      <c r="D141" s="1" t="s">
        <v>16</v>
      </c>
      <c r="E141" s="1">
        <v>2683</v>
      </c>
      <c r="F141" s="1">
        <v>496</v>
      </c>
      <c r="G141" s="1">
        <v>89</v>
      </c>
      <c r="H141" s="1">
        <v>53435</v>
      </c>
      <c r="I141" s="4">
        <f>((Table1_1[[#This Row],[Likes]]+Table1_1[[#This Row],[Shares]]+Table1_1[[#This Row],[Comments]])/Table1_1[[#This Row],[Impressions]])*100</f>
        <v>6.1158416768035933</v>
      </c>
      <c r="J141" s="3" t="s">
        <v>27</v>
      </c>
    </row>
    <row r="142" spans="1:10" x14ac:dyDescent="0.3">
      <c r="A142" s="1" t="s">
        <v>104</v>
      </c>
      <c r="B142" s="1" t="s">
        <v>15</v>
      </c>
      <c r="C142" s="2">
        <v>45405</v>
      </c>
      <c r="D142" s="1" t="s">
        <v>16</v>
      </c>
      <c r="E142" s="1">
        <v>2683</v>
      </c>
      <c r="F142" s="1">
        <v>496</v>
      </c>
      <c r="G142" s="1">
        <v>89</v>
      </c>
      <c r="H142" s="1">
        <v>53435</v>
      </c>
      <c r="I142" s="4">
        <f>((Table1_1[[#This Row],[Likes]]+Table1_1[[#This Row],[Shares]]+Table1_1[[#This Row],[Comments]])/Table1_1[[#This Row],[Impressions]])*100</f>
        <v>6.1158416768035933</v>
      </c>
      <c r="J142" s="3" t="s">
        <v>24</v>
      </c>
    </row>
    <row r="143" spans="1:10" x14ac:dyDescent="0.3">
      <c r="A143" s="1" t="s">
        <v>105</v>
      </c>
      <c r="B143" s="1" t="s">
        <v>15</v>
      </c>
      <c r="C143" s="2">
        <v>45705</v>
      </c>
      <c r="D143" s="1" t="s">
        <v>16</v>
      </c>
      <c r="E143" s="1">
        <v>4796</v>
      </c>
      <c r="F143" s="1">
        <v>427</v>
      </c>
      <c r="G143" s="1">
        <v>339</v>
      </c>
      <c r="H143" s="1">
        <v>30752</v>
      </c>
      <c r="I143" s="4">
        <f>((Table1_1[[#This Row],[Likes]]+Table1_1[[#This Row],[Shares]]+Table1_1[[#This Row],[Comments]])/Table1_1[[#This Row],[Impressions]])*100</f>
        <v>18.086628511966701</v>
      </c>
      <c r="J143" s="3" t="s">
        <v>27</v>
      </c>
    </row>
    <row r="144" spans="1:10" x14ac:dyDescent="0.3">
      <c r="A144" s="1" t="s">
        <v>105</v>
      </c>
      <c r="B144" s="1" t="s">
        <v>15</v>
      </c>
      <c r="C144" s="2">
        <v>45705</v>
      </c>
      <c r="D144" s="1" t="s">
        <v>16</v>
      </c>
      <c r="E144" s="1">
        <v>4796</v>
      </c>
      <c r="F144" s="1">
        <v>427</v>
      </c>
      <c r="G144" s="1">
        <v>339</v>
      </c>
      <c r="H144" s="1">
        <v>30752</v>
      </c>
      <c r="I144" s="4">
        <f>((Table1_1[[#This Row],[Likes]]+Table1_1[[#This Row],[Shares]]+Table1_1[[#This Row],[Comments]])/Table1_1[[#This Row],[Impressions]])*100</f>
        <v>18.086628511966701</v>
      </c>
      <c r="J144" s="3" t="s">
        <v>24</v>
      </c>
    </row>
    <row r="145" spans="1:10" x14ac:dyDescent="0.3">
      <c r="A145" s="1" t="s">
        <v>106</v>
      </c>
      <c r="B145" s="1" t="s">
        <v>10</v>
      </c>
      <c r="C145" s="2">
        <v>45630</v>
      </c>
      <c r="D145" s="1" t="s">
        <v>11</v>
      </c>
      <c r="E145" s="1">
        <v>2601</v>
      </c>
      <c r="F145" s="1">
        <v>336</v>
      </c>
      <c r="G145" s="1">
        <v>260</v>
      </c>
      <c r="H145" s="1">
        <v>32368</v>
      </c>
      <c r="I145" s="4">
        <f>((Table1_1[[#This Row],[Likes]]+Table1_1[[#This Row],[Shares]]+Table1_1[[#This Row],[Comments]])/Table1_1[[#This Row],[Impressions]])*100</f>
        <v>9.8770390509144832</v>
      </c>
      <c r="J145" s="3" t="s">
        <v>27</v>
      </c>
    </row>
    <row r="146" spans="1:10" x14ac:dyDescent="0.3">
      <c r="A146" s="1" t="s">
        <v>106</v>
      </c>
      <c r="B146" s="1" t="s">
        <v>10</v>
      </c>
      <c r="C146" s="2">
        <v>45630</v>
      </c>
      <c r="D146" s="1" t="s">
        <v>11</v>
      </c>
      <c r="E146" s="1">
        <v>2601</v>
      </c>
      <c r="F146" s="1">
        <v>336</v>
      </c>
      <c r="G146" s="1">
        <v>260</v>
      </c>
      <c r="H146" s="1">
        <v>32368</v>
      </c>
      <c r="I146" s="4">
        <f>((Table1_1[[#This Row],[Likes]]+Table1_1[[#This Row],[Shares]]+Table1_1[[#This Row],[Comments]])/Table1_1[[#This Row],[Impressions]])*100</f>
        <v>9.8770390509144832</v>
      </c>
      <c r="J146" s="3" t="s">
        <v>24</v>
      </c>
    </row>
    <row r="147" spans="1:10" x14ac:dyDescent="0.3">
      <c r="A147" s="1" t="s">
        <v>107</v>
      </c>
      <c r="B147" s="1" t="s">
        <v>15</v>
      </c>
      <c r="C147" s="2">
        <v>45495</v>
      </c>
      <c r="D147" s="1" t="s">
        <v>16</v>
      </c>
      <c r="E147" s="1">
        <v>3336</v>
      </c>
      <c r="F147" s="1">
        <v>229</v>
      </c>
      <c r="G147" s="1">
        <v>337</v>
      </c>
      <c r="H147" s="1">
        <v>22117</v>
      </c>
      <c r="I147" s="4">
        <f>((Table1_1[[#This Row],[Likes]]+Table1_1[[#This Row],[Shares]]+Table1_1[[#This Row],[Comments]])/Table1_1[[#This Row],[Impressions]])*100</f>
        <v>17.642537414658406</v>
      </c>
      <c r="J147" s="3" t="s">
        <v>319</v>
      </c>
    </row>
    <row r="148" spans="1:10" x14ac:dyDescent="0.3">
      <c r="A148" s="1" t="s">
        <v>107</v>
      </c>
      <c r="B148" s="1" t="s">
        <v>15</v>
      </c>
      <c r="C148" s="2">
        <v>45495</v>
      </c>
      <c r="D148" s="1" t="s">
        <v>16</v>
      </c>
      <c r="E148" s="1">
        <v>3336</v>
      </c>
      <c r="F148" s="1">
        <v>229</v>
      </c>
      <c r="G148" s="1">
        <v>337</v>
      </c>
      <c r="H148" s="1">
        <v>22117</v>
      </c>
      <c r="I148" s="4">
        <f>((Table1_1[[#This Row],[Likes]]+Table1_1[[#This Row],[Shares]]+Table1_1[[#This Row],[Comments]])/Table1_1[[#This Row],[Impressions]])*100</f>
        <v>17.642537414658406</v>
      </c>
      <c r="J148" s="3" t="s">
        <v>24</v>
      </c>
    </row>
    <row r="149" spans="1:10" x14ac:dyDescent="0.3">
      <c r="A149" s="1" t="s">
        <v>108</v>
      </c>
      <c r="B149" s="1" t="s">
        <v>15</v>
      </c>
      <c r="C149" s="2">
        <v>45774</v>
      </c>
      <c r="D149" s="1" t="s">
        <v>11</v>
      </c>
      <c r="E149" s="1">
        <v>1165</v>
      </c>
      <c r="F149" s="1">
        <v>294</v>
      </c>
      <c r="G149" s="1">
        <v>163</v>
      </c>
      <c r="H149" s="1">
        <v>20659</v>
      </c>
      <c r="I149" s="4">
        <f>((Table1_1[[#This Row],[Likes]]+Table1_1[[#This Row],[Shares]]+Table1_1[[#This Row],[Comments]])/Table1_1[[#This Row],[Impressions]])*100</f>
        <v>7.8512996756861426</v>
      </c>
      <c r="J149" s="3" t="s">
        <v>27</v>
      </c>
    </row>
    <row r="150" spans="1:10" x14ac:dyDescent="0.3">
      <c r="A150" s="1" t="s">
        <v>109</v>
      </c>
      <c r="B150" s="1" t="s">
        <v>19</v>
      </c>
      <c r="C150" s="2">
        <v>45376</v>
      </c>
      <c r="D150" s="1" t="s">
        <v>36</v>
      </c>
      <c r="E150" s="1">
        <v>1948</v>
      </c>
      <c r="F150" s="1">
        <v>155</v>
      </c>
      <c r="G150" s="1">
        <v>315</v>
      </c>
      <c r="H150" s="1">
        <v>30321</v>
      </c>
      <c r="I150" s="4">
        <f>((Table1_1[[#This Row],[Likes]]+Table1_1[[#This Row],[Shares]]+Table1_1[[#This Row],[Comments]])/Table1_1[[#This Row],[Impressions]])*100</f>
        <v>7.974671020085089</v>
      </c>
      <c r="J150" s="3" t="s">
        <v>13</v>
      </c>
    </row>
    <row r="151" spans="1:10" x14ac:dyDescent="0.3">
      <c r="A151" s="1" t="s">
        <v>109</v>
      </c>
      <c r="B151" s="1" t="s">
        <v>19</v>
      </c>
      <c r="C151" s="2">
        <v>45376</v>
      </c>
      <c r="D151" s="1" t="s">
        <v>36</v>
      </c>
      <c r="E151" s="1">
        <v>1948</v>
      </c>
      <c r="F151" s="1">
        <v>155</v>
      </c>
      <c r="G151" s="1">
        <v>315</v>
      </c>
      <c r="H151" s="1">
        <v>30321</v>
      </c>
      <c r="I151" s="4">
        <f>((Table1_1[[#This Row],[Likes]]+Table1_1[[#This Row],[Shares]]+Table1_1[[#This Row],[Comments]])/Table1_1[[#This Row],[Impressions]])*100</f>
        <v>7.974671020085089</v>
      </c>
      <c r="J151" s="3" t="s">
        <v>27</v>
      </c>
    </row>
    <row r="152" spans="1:10" x14ac:dyDescent="0.3">
      <c r="A152" s="1" t="s">
        <v>110</v>
      </c>
      <c r="B152" s="1" t="s">
        <v>10</v>
      </c>
      <c r="C152" s="2">
        <v>45351</v>
      </c>
      <c r="D152" s="1" t="s">
        <v>11</v>
      </c>
      <c r="E152" s="1">
        <v>1100</v>
      </c>
      <c r="F152" s="1">
        <v>229</v>
      </c>
      <c r="G152" s="1">
        <v>312</v>
      </c>
      <c r="H152" s="1">
        <v>25641</v>
      </c>
      <c r="I152" s="4">
        <f>((Table1_1[[#This Row],[Likes]]+Table1_1[[#This Row],[Shares]]+Table1_1[[#This Row],[Comments]])/Table1_1[[#This Row],[Impressions]])*100</f>
        <v>6.3999063999063992</v>
      </c>
      <c r="J152" s="3" t="s">
        <v>13</v>
      </c>
    </row>
    <row r="153" spans="1:10" x14ac:dyDescent="0.3">
      <c r="A153" s="1" t="s">
        <v>111</v>
      </c>
      <c r="B153" s="1" t="s">
        <v>15</v>
      </c>
      <c r="C153" s="2">
        <v>45609</v>
      </c>
      <c r="D153" s="1" t="s">
        <v>16</v>
      </c>
      <c r="E153" s="1">
        <v>4628</v>
      </c>
      <c r="F153" s="1">
        <v>257</v>
      </c>
      <c r="G153" s="1">
        <v>397</v>
      </c>
      <c r="H153" s="1">
        <v>36686</v>
      </c>
      <c r="I153" s="4">
        <f>((Table1_1[[#This Row],[Likes]]+Table1_1[[#This Row],[Shares]]+Table1_1[[#This Row],[Comments]])/Table1_1[[#This Row],[Impressions]])*100</f>
        <v>14.397862944992641</v>
      </c>
      <c r="J153" s="3" t="s">
        <v>27</v>
      </c>
    </row>
    <row r="154" spans="1:10" x14ac:dyDescent="0.3">
      <c r="A154" s="1" t="s">
        <v>111</v>
      </c>
      <c r="B154" s="1" t="s">
        <v>15</v>
      </c>
      <c r="C154" s="2">
        <v>45609</v>
      </c>
      <c r="D154" s="1" t="s">
        <v>16</v>
      </c>
      <c r="E154" s="1">
        <v>4628</v>
      </c>
      <c r="F154" s="1">
        <v>257</v>
      </c>
      <c r="G154" s="1">
        <v>397</v>
      </c>
      <c r="H154" s="1">
        <v>36686</v>
      </c>
      <c r="I154" s="4">
        <f>((Table1_1[[#This Row],[Likes]]+Table1_1[[#This Row],[Shares]]+Table1_1[[#This Row],[Comments]])/Table1_1[[#This Row],[Impressions]])*100</f>
        <v>14.397862944992641</v>
      </c>
      <c r="J154" s="3" t="s">
        <v>24</v>
      </c>
    </row>
    <row r="155" spans="1:10" x14ac:dyDescent="0.3">
      <c r="A155" s="1" t="s">
        <v>112</v>
      </c>
      <c r="B155" s="1" t="s">
        <v>10</v>
      </c>
      <c r="C155" s="2">
        <v>45373</v>
      </c>
      <c r="D155" s="1" t="s">
        <v>16</v>
      </c>
      <c r="E155" s="1">
        <v>2319</v>
      </c>
      <c r="F155" s="1">
        <v>484</v>
      </c>
      <c r="G155" s="1">
        <v>193</v>
      </c>
      <c r="H155" s="1">
        <v>21202</v>
      </c>
      <c r="I155" s="4">
        <f>((Table1_1[[#This Row],[Likes]]+Table1_1[[#This Row],[Shares]]+Table1_1[[#This Row],[Comments]])/Table1_1[[#This Row],[Impressions]])*100</f>
        <v>14.130742382794075</v>
      </c>
      <c r="J155" s="3" t="s">
        <v>24</v>
      </c>
    </row>
    <row r="156" spans="1:10" x14ac:dyDescent="0.3">
      <c r="A156" s="1" t="s">
        <v>113</v>
      </c>
      <c r="B156" s="1" t="s">
        <v>15</v>
      </c>
      <c r="C156" s="2">
        <v>45367</v>
      </c>
      <c r="D156" s="1" t="s">
        <v>16</v>
      </c>
      <c r="E156" s="1">
        <v>2895</v>
      </c>
      <c r="F156" s="1">
        <v>292</v>
      </c>
      <c r="G156" s="1">
        <v>90</v>
      </c>
      <c r="H156" s="1">
        <v>24223</v>
      </c>
      <c r="I156" s="4">
        <f>((Table1_1[[#This Row],[Likes]]+Table1_1[[#This Row],[Shares]]+Table1_1[[#This Row],[Comments]])/Table1_1[[#This Row],[Impressions]])*100</f>
        <v>13.528464682326714</v>
      </c>
      <c r="J156" s="3" t="s">
        <v>27</v>
      </c>
    </row>
    <row r="157" spans="1:10" x14ac:dyDescent="0.3">
      <c r="A157" s="1" t="s">
        <v>113</v>
      </c>
      <c r="B157" s="1" t="s">
        <v>15</v>
      </c>
      <c r="C157" s="2">
        <v>45367</v>
      </c>
      <c r="D157" s="1" t="s">
        <v>16</v>
      </c>
      <c r="E157" s="1">
        <v>2895</v>
      </c>
      <c r="F157" s="1">
        <v>292</v>
      </c>
      <c r="G157" s="1">
        <v>90</v>
      </c>
      <c r="H157" s="1">
        <v>24223</v>
      </c>
      <c r="I157" s="4">
        <f>((Table1_1[[#This Row],[Likes]]+Table1_1[[#This Row],[Shares]]+Table1_1[[#This Row],[Comments]])/Table1_1[[#This Row],[Impressions]])*100</f>
        <v>13.528464682326714</v>
      </c>
      <c r="J157" s="3" t="s">
        <v>24</v>
      </c>
    </row>
    <row r="158" spans="1:10" x14ac:dyDescent="0.3">
      <c r="A158" s="1" t="s">
        <v>114</v>
      </c>
      <c r="B158" s="1" t="s">
        <v>10</v>
      </c>
      <c r="C158" s="2">
        <v>45317</v>
      </c>
      <c r="D158" s="1" t="s">
        <v>11</v>
      </c>
      <c r="E158" s="1">
        <v>3878</v>
      </c>
      <c r="F158" s="1">
        <v>431</v>
      </c>
      <c r="G158" s="1">
        <v>97</v>
      </c>
      <c r="H158" s="1">
        <v>41763</v>
      </c>
      <c r="I158" s="4">
        <f>((Table1_1[[#This Row],[Likes]]+Table1_1[[#This Row],[Shares]]+Table1_1[[#This Row],[Comments]])/Table1_1[[#This Row],[Impressions]])*100</f>
        <v>10.550008380623996</v>
      </c>
      <c r="J158" s="3" t="s">
        <v>13</v>
      </c>
    </row>
    <row r="159" spans="1:10" x14ac:dyDescent="0.3">
      <c r="A159" s="1" t="s">
        <v>115</v>
      </c>
      <c r="B159" s="1" t="s">
        <v>15</v>
      </c>
      <c r="C159" s="2">
        <v>45366</v>
      </c>
      <c r="D159" s="1" t="s">
        <v>16</v>
      </c>
      <c r="E159" s="1">
        <v>4969</v>
      </c>
      <c r="F159" s="1">
        <v>433</v>
      </c>
      <c r="G159" s="1">
        <v>237</v>
      </c>
      <c r="H159" s="1">
        <v>59552</v>
      </c>
      <c r="I159" s="4">
        <f>((Table1_1[[#This Row],[Likes]]+Table1_1[[#This Row],[Shares]]+Table1_1[[#This Row],[Comments]])/Table1_1[[#This Row],[Impressions]])*100</f>
        <v>9.4690354648038682</v>
      </c>
      <c r="J159" s="3" t="s">
        <v>13</v>
      </c>
    </row>
    <row r="160" spans="1:10" x14ac:dyDescent="0.3">
      <c r="A160" s="1" t="s">
        <v>115</v>
      </c>
      <c r="B160" s="1" t="s">
        <v>15</v>
      </c>
      <c r="C160" s="2">
        <v>45366</v>
      </c>
      <c r="D160" s="1" t="s">
        <v>16</v>
      </c>
      <c r="E160" s="1">
        <v>4969</v>
      </c>
      <c r="F160" s="1">
        <v>433</v>
      </c>
      <c r="G160" s="1">
        <v>237</v>
      </c>
      <c r="H160" s="1">
        <v>59552</v>
      </c>
      <c r="I160" s="4">
        <f>((Table1_1[[#This Row],[Likes]]+Table1_1[[#This Row],[Shares]]+Table1_1[[#This Row],[Comments]])/Table1_1[[#This Row],[Impressions]])*100</f>
        <v>9.4690354648038682</v>
      </c>
      <c r="J160" s="3" t="s">
        <v>319</v>
      </c>
    </row>
    <row r="161" spans="1:10" x14ac:dyDescent="0.3">
      <c r="A161" s="1" t="s">
        <v>116</v>
      </c>
      <c r="B161" s="1" t="s">
        <v>15</v>
      </c>
      <c r="C161" s="2">
        <v>45580</v>
      </c>
      <c r="D161" s="1" t="s">
        <v>11</v>
      </c>
      <c r="E161" s="1">
        <v>1984</v>
      </c>
      <c r="F161" s="1">
        <v>481</v>
      </c>
      <c r="G161" s="1">
        <v>356</v>
      </c>
      <c r="H161" s="1">
        <v>40681</v>
      </c>
      <c r="I161" s="4">
        <f>((Table1_1[[#This Row],[Likes]]+Table1_1[[#This Row],[Shares]]+Table1_1[[#This Row],[Comments]])/Table1_1[[#This Row],[Impressions]])*100</f>
        <v>6.9344411395983379</v>
      </c>
      <c r="J161" s="3" t="s">
        <v>24</v>
      </c>
    </row>
    <row r="162" spans="1:10" x14ac:dyDescent="0.3">
      <c r="A162" s="1" t="s">
        <v>117</v>
      </c>
      <c r="B162" s="1" t="s">
        <v>10</v>
      </c>
      <c r="C162" s="2">
        <v>45494</v>
      </c>
      <c r="D162" s="1" t="s">
        <v>11</v>
      </c>
      <c r="E162" s="1">
        <v>3004</v>
      </c>
      <c r="F162" s="1">
        <v>415</v>
      </c>
      <c r="G162" s="1">
        <v>218</v>
      </c>
      <c r="H162" s="1">
        <v>36090</v>
      </c>
      <c r="I162" s="4">
        <f>((Table1_1[[#This Row],[Likes]]+Table1_1[[#This Row],[Shares]]+Table1_1[[#This Row],[Comments]])/Table1_1[[#This Row],[Impressions]])*100</f>
        <v>10.077583818232197</v>
      </c>
      <c r="J162" s="3" t="s">
        <v>13</v>
      </c>
    </row>
    <row r="163" spans="1:10" x14ac:dyDescent="0.3">
      <c r="A163" s="1" t="s">
        <v>118</v>
      </c>
      <c r="B163" s="1" t="s">
        <v>15</v>
      </c>
      <c r="C163" s="2">
        <v>45577</v>
      </c>
      <c r="D163" s="1" t="s">
        <v>11</v>
      </c>
      <c r="E163" s="1">
        <v>3169</v>
      </c>
      <c r="F163" s="1">
        <v>386</v>
      </c>
      <c r="G163" s="1">
        <v>175</v>
      </c>
      <c r="H163" s="1">
        <v>45012</v>
      </c>
      <c r="I163" s="4">
        <f>((Table1_1[[#This Row],[Likes]]+Table1_1[[#This Row],[Shares]]+Table1_1[[#This Row],[Comments]])/Table1_1[[#This Row],[Impressions]])*100</f>
        <v>8.2866791077934785</v>
      </c>
      <c r="J163" s="3" t="s">
        <v>24</v>
      </c>
    </row>
    <row r="164" spans="1:10" x14ac:dyDescent="0.3">
      <c r="A164" s="1" t="s">
        <v>119</v>
      </c>
      <c r="B164" s="1" t="s">
        <v>15</v>
      </c>
      <c r="C164" s="2">
        <v>45591</v>
      </c>
      <c r="D164" s="1" t="s">
        <v>11</v>
      </c>
      <c r="E164" s="1">
        <v>3036</v>
      </c>
      <c r="F164" s="1">
        <v>293</v>
      </c>
      <c r="G164" s="1">
        <v>115</v>
      </c>
      <c r="H164" s="1">
        <v>23776</v>
      </c>
      <c r="I164" s="4">
        <f>((Table1_1[[#This Row],[Likes]]+Table1_1[[#This Row],[Shares]]+Table1_1[[#This Row],[Comments]])/Table1_1[[#This Row],[Impressions]])*100</f>
        <v>14.485195154777927</v>
      </c>
      <c r="J164" s="3" t="s">
        <v>24</v>
      </c>
    </row>
    <row r="165" spans="1:10" x14ac:dyDescent="0.3">
      <c r="A165" s="1" t="s">
        <v>120</v>
      </c>
      <c r="B165" s="1" t="s">
        <v>10</v>
      </c>
      <c r="C165" s="2">
        <v>45336</v>
      </c>
      <c r="D165" s="1" t="s">
        <v>11</v>
      </c>
      <c r="E165" s="1">
        <v>1830</v>
      </c>
      <c r="F165" s="1">
        <v>112</v>
      </c>
      <c r="G165" s="1">
        <v>181</v>
      </c>
      <c r="H165" s="1">
        <v>31870</v>
      </c>
      <c r="I165" s="4">
        <f>((Table1_1[[#This Row],[Likes]]+Table1_1[[#This Row],[Shares]]+Table1_1[[#This Row],[Comments]])/Table1_1[[#This Row],[Impressions]])*100</f>
        <v>6.6614370881706932</v>
      </c>
      <c r="J165" s="3" t="s">
        <v>27</v>
      </c>
    </row>
    <row r="166" spans="1:10" x14ac:dyDescent="0.3">
      <c r="A166" s="1" t="s">
        <v>120</v>
      </c>
      <c r="B166" s="1" t="s">
        <v>10</v>
      </c>
      <c r="C166" s="2">
        <v>45336</v>
      </c>
      <c r="D166" s="1" t="s">
        <v>11</v>
      </c>
      <c r="E166" s="1">
        <v>1830</v>
      </c>
      <c r="F166" s="1">
        <v>112</v>
      </c>
      <c r="G166" s="1">
        <v>181</v>
      </c>
      <c r="H166" s="1">
        <v>31870</v>
      </c>
      <c r="I166" s="4">
        <f>((Table1_1[[#This Row],[Likes]]+Table1_1[[#This Row],[Shares]]+Table1_1[[#This Row],[Comments]])/Table1_1[[#This Row],[Impressions]])*100</f>
        <v>6.6614370881706932</v>
      </c>
      <c r="J166" s="3" t="s">
        <v>24</v>
      </c>
    </row>
    <row r="167" spans="1:10" x14ac:dyDescent="0.3">
      <c r="A167" s="1" t="s">
        <v>121</v>
      </c>
      <c r="B167" s="1" t="s">
        <v>15</v>
      </c>
      <c r="C167" s="2">
        <v>45413</v>
      </c>
      <c r="D167" s="1" t="s">
        <v>16</v>
      </c>
      <c r="E167" s="1">
        <v>2587</v>
      </c>
      <c r="F167" s="1">
        <v>447</v>
      </c>
      <c r="G167" s="1">
        <v>183</v>
      </c>
      <c r="H167" s="1">
        <v>36266</v>
      </c>
      <c r="I167" s="4">
        <f>((Table1_1[[#This Row],[Likes]]+Table1_1[[#This Row],[Shares]]+Table1_1[[#This Row],[Comments]])/Table1_1[[#This Row],[Impressions]])*100</f>
        <v>8.8705674736667941</v>
      </c>
      <c r="J167" s="3" t="s">
        <v>13</v>
      </c>
    </row>
    <row r="168" spans="1:10" x14ac:dyDescent="0.3">
      <c r="A168" s="1" t="s">
        <v>121</v>
      </c>
      <c r="B168" s="1" t="s">
        <v>15</v>
      </c>
      <c r="C168" s="2">
        <v>45413</v>
      </c>
      <c r="D168" s="1" t="s">
        <v>16</v>
      </c>
      <c r="E168" s="1">
        <v>2587</v>
      </c>
      <c r="F168" s="1">
        <v>447</v>
      </c>
      <c r="G168" s="1">
        <v>183</v>
      </c>
      <c r="H168" s="1">
        <v>36266</v>
      </c>
      <c r="I168" s="4">
        <f>((Table1_1[[#This Row],[Likes]]+Table1_1[[#This Row],[Shares]]+Table1_1[[#This Row],[Comments]])/Table1_1[[#This Row],[Impressions]])*100</f>
        <v>8.8705674736667941</v>
      </c>
      <c r="J168" s="3" t="s">
        <v>319</v>
      </c>
    </row>
    <row r="169" spans="1:10" x14ac:dyDescent="0.3">
      <c r="A169" s="1" t="s">
        <v>122</v>
      </c>
      <c r="B169" s="1" t="s">
        <v>15</v>
      </c>
      <c r="C169" s="2">
        <v>45553</v>
      </c>
      <c r="D169" s="1" t="s">
        <v>11</v>
      </c>
      <c r="E169" s="1">
        <v>2878</v>
      </c>
      <c r="F169" s="1">
        <v>265</v>
      </c>
      <c r="G169" s="1">
        <v>91</v>
      </c>
      <c r="H169" s="1">
        <v>52090</v>
      </c>
      <c r="I169" s="4">
        <f>((Table1_1[[#This Row],[Likes]]+Table1_1[[#This Row],[Shares]]+Table1_1[[#This Row],[Comments]])/Table1_1[[#This Row],[Impressions]])*100</f>
        <v>6.2084853138798231</v>
      </c>
      <c r="J169" s="3" t="s">
        <v>24</v>
      </c>
    </row>
    <row r="170" spans="1:10" x14ac:dyDescent="0.3">
      <c r="A170" s="1" t="s">
        <v>123</v>
      </c>
      <c r="B170" s="1" t="s">
        <v>15</v>
      </c>
      <c r="C170" s="2">
        <v>45677</v>
      </c>
      <c r="D170" s="1" t="s">
        <v>16</v>
      </c>
      <c r="E170" s="1">
        <v>4619</v>
      </c>
      <c r="F170" s="1">
        <v>272</v>
      </c>
      <c r="G170" s="1">
        <v>57</v>
      </c>
      <c r="H170" s="1">
        <v>21334</v>
      </c>
      <c r="I170" s="4">
        <f>((Table1_1[[#This Row],[Likes]]+Table1_1[[#This Row],[Shares]]+Table1_1[[#This Row],[Comments]])/Table1_1[[#This Row],[Impressions]])*100</f>
        <v>23.193025217961939</v>
      </c>
      <c r="J170" s="3" t="s">
        <v>27</v>
      </c>
    </row>
    <row r="171" spans="1:10" x14ac:dyDescent="0.3">
      <c r="A171" s="1" t="s">
        <v>123</v>
      </c>
      <c r="B171" s="1" t="s">
        <v>15</v>
      </c>
      <c r="C171" s="2">
        <v>45677</v>
      </c>
      <c r="D171" s="1" t="s">
        <v>16</v>
      </c>
      <c r="E171" s="1">
        <v>4619</v>
      </c>
      <c r="F171" s="1">
        <v>272</v>
      </c>
      <c r="G171" s="1">
        <v>57</v>
      </c>
      <c r="H171" s="1">
        <v>21334</v>
      </c>
      <c r="I171" s="4">
        <f>((Table1_1[[#This Row],[Likes]]+Table1_1[[#This Row],[Shares]]+Table1_1[[#This Row],[Comments]])/Table1_1[[#This Row],[Impressions]])*100</f>
        <v>23.193025217961939</v>
      </c>
      <c r="J171" s="3" t="s">
        <v>24</v>
      </c>
    </row>
    <row r="172" spans="1:10" x14ac:dyDescent="0.3">
      <c r="A172" s="1" t="s">
        <v>124</v>
      </c>
      <c r="B172" s="1" t="s">
        <v>15</v>
      </c>
      <c r="C172" s="2">
        <v>45670</v>
      </c>
      <c r="D172" s="1" t="s">
        <v>11</v>
      </c>
      <c r="E172" s="1">
        <v>4090</v>
      </c>
      <c r="F172" s="1">
        <v>209</v>
      </c>
      <c r="G172" s="1">
        <v>278</v>
      </c>
      <c r="H172" s="1">
        <v>52853</v>
      </c>
      <c r="I172" s="4">
        <f>((Table1_1[[#This Row],[Likes]]+Table1_1[[#This Row],[Shares]]+Table1_1[[#This Row],[Comments]])/Table1_1[[#This Row],[Impressions]])*100</f>
        <v>8.659867935594951</v>
      </c>
      <c r="J172" s="3" t="s">
        <v>27</v>
      </c>
    </row>
    <row r="173" spans="1:10" x14ac:dyDescent="0.3">
      <c r="A173" s="1" t="s">
        <v>125</v>
      </c>
      <c r="B173" s="1" t="s">
        <v>19</v>
      </c>
      <c r="C173" s="2">
        <v>45542</v>
      </c>
      <c r="D173" s="1" t="s">
        <v>36</v>
      </c>
      <c r="E173" s="1">
        <v>3882</v>
      </c>
      <c r="F173" s="1">
        <v>342</v>
      </c>
      <c r="G173" s="1">
        <v>374</v>
      </c>
      <c r="H173" s="1">
        <v>41991</v>
      </c>
      <c r="I173" s="4">
        <f>((Table1_1[[#This Row],[Likes]]+Table1_1[[#This Row],[Shares]]+Table1_1[[#This Row],[Comments]])/Table1_1[[#This Row],[Impressions]])*100</f>
        <v>10.949965468790932</v>
      </c>
      <c r="J173" s="3" t="s">
        <v>13</v>
      </c>
    </row>
    <row r="174" spans="1:10" x14ac:dyDescent="0.3">
      <c r="A174" s="1" t="s">
        <v>125</v>
      </c>
      <c r="B174" s="1" t="s">
        <v>19</v>
      </c>
      <c r="C174" s="2">
        <v>45542</v>
      </c>
      <c r="D174" s="1" t="s">
        <v>36</v>
      </c>
      <c r="E174" s="1">
        <v>3882</v>
      </c>
      <c r="F174" s="1">
        <v>342</v>
      </c>
      <c r="G174" s="1">
        <v>374</v>
      </c>
      <c r="H174" s="1">
        <v>41991</v>
      </c>
      <c r="I174" s="4">
        <f>((Table1_1[[#This Row],[Likes]]+Table1_1[[#This Row],[Shares]]+Table1_1[[#This Row],[Comments]])/Table1_1[[#This Row],[Impressions]])*100</f>
        <v>10.949965468790932</v>
      </c>
      <c r="J174" s="3" t="s">
        <v>27</v>
      </c>
    </row>
    <row r="175" spans="1:10" x14ac:dyDescent="0.3">
      <c r="A175" s="1" t="s">
        <v>126</v>
      </c>
      <c r="B175" s="1" t="s">
        <v>10</v>
      </c>
      <c r="C175" s="2">
        <v>45617</v>
      </c>
      <c r="D175" s="1" t="s">
        <v>11</v>
      </c>
      <c r="E175" s="1">
        <v>4581</v>
      </c>
      <c r="F175" s="1">
        <v>181</v>
      </c>
      <c r="G175" s="1">
        <v>112</v>
      </c>
      <c r="H175" s="1">
        <v>35221</v>
      </c>
      <c r="I175" s="4">
        <f>((Table1_1[[#This Row],[Likes]]+Table1_1[[#This Row],[Shares]]+Table1_1[[#This Row],[Comments]])/Table1_1[[#This Row],[Impressions]])*100</f>
        <v>13.838335084182733</v>
      </c>
      <c r="J175" s="3" t="s">
        <v>27</v>
      </c>
    </row>
    <row r="176" spans="1:10" x14ac:dyDescent="0.3">
      <c r="A176" s="1" t="s">
        <v>126</v>
      </c>
      <c r="B176" s="1" t="s">
        <v>10</v>
      </c>
      <c r="C176" s="2">
        <v>45617</v>
      </c>
      <c r="D176" s="1" t="s">
        <v>11</v>
      </c>
      <c r="E176" s="1">
        <v>4581</v>
      </c>
      <c r="F176" s="1">
        <v>181</v>
      </c>
      <c r="G176" s="1">
        <v>112</v>
      </c>
      <c r="H176" s="1">
        <v>35221</v>
      </c>
      <c r="I176" s="4">
        <f>((Table1_1[[#This Row],[Likes]]+Table1_1[[#This Row],[Shares]]+Table1_1[[#This Row],[Comments]])/Table1_1[[#This Row],[Impressions]])*100</f>
        <v>13.838335084182733</v>
      </c>
      <c r="J176" s="3" t="s">
        <v>24</v>
      </c>
    </row>
    <row r="177" spans="1:10" x14ac:dyDescent="0.3">
      <c r="A177" s="1" t="s">
        <v>127</v>
      </c>
      <c r="B177" s="1" t="s">
        <v>10</v>
      </c>
      <c r="C177" s="2">
        <v>45469</v>
      </c>
      <c r="D177" s="1" t="s">
        <v>11</v>
      </c>
      <c r="E177" s="1">
        <v>3253</v>
      </c>
      <c r="F177" s="1">
        <v>483</v>
      </c>
      <c r="G177" s="1">
        <v>336</v>
      </c>
      <c r="H177" s="1">
        <v>25397</v>
      </c>
      <c r="I177" s="4">
        <f>((Table1_1[[#This Row],[Likes]]+Table1_1[[#This Row],[Shares]]+Table1_1[[#This Row],[Comments]])/Table1_1[[#This Row],[Impressions]])*100</f>
        <v>16.033389770445329</v>
      </c>
      <c r="J177" s="3" t="s">
        <v>13</v>
      </c>
    </row>
    <row r="178" spans="1:10" x14ac:dyDescent="0.3">
      <c r="A178" s="1" t="s">
        <v>128</v>
      </c>
      <c r="B178" s="1" t="s">
        <v>19</v>
      </c>
      <c r="C178" s="2">
        <v>45493</v>
      </c>
      <c r="D178" s="1" t="s">
        <v>36</v>
      </c>
      <c r="E178" s="1">
        <v>4955</v>
      </c>
      <c r="F178" s="1">
        <v>299</v>
      </c>
      <c r="G178" s="1">
        <v>345</v>
      </c>
      <c r="H178" s="1">
        <v>33644</v>
      </c>
      <c r="I178" s="4">
        <f>((Table1_1[[#This Row],[Likes]]+Table1_1[[#This Row],[Shares]]+Table1_1[[#This Row],[Comments]])/Table1_1[[#This Row],[Impressions]])*100</f>
        <v>16.641897515158721</v>
      </c>
      <c r="J178" s="3" t="s">
        <v>13</v>
      </c>
    </row>
    <row r="179" spans="1:10" x14ac:dyDescent="0.3">
      <c r="A179" s="1" t="s">
        <v>128</v>
      </c>
      <c r="B179" s="1" t="s">
        <v>19</v>
      </c>
      <c r="C179" s="2">
        <v>45493</v>
      </c>
      <c r="D179" s="1" t="s">
        <v>36</v>
      </c>
      <c r="E179" s="1">
        <v>4955</v>
      </c>
      <c r="F179" s="1">
        <v>299</v>
      </c>
      <c r="G179" s="1">
        <v>345</v>
      </c>
      <c r="H179" s="1">
        <v>33644</v>
      </c>
      <c r="I179" s="4">
        <f>((Table1_1[[#This Row],[Likes]]+Table1_1[[#This Row],[Shares]]+Table1_1[[#This Row],[Comments]])/Table1_1[[#This Row],[Impressions]])*100</f>
        <v>16.641897515158721</v>
      </c>
      <c r="J179" s="3" t="s">
        <v>27</v>
      </c>
    </row>
    <row r="180" spans="1:10" x14ac:dyDescent="0.3">
      <c r="A180" s="1" t="s">
        <v>129</v>
      </c>
      <c r="B180" s="1" t="s">
        <v>10</v>
      </c>
      <c r="C180" s="2">
        <v>45704</v>
      </c>
      <c r="D180" s="1" t="s">
        <v>11</v>
      </c>
      <c r="E180" s="1">
        <v>1333</v>
      </c>
      <c r="F180" s="1">
        <v>286</v>
      </c>
      <c r="G180" s="1">
        <v>298</v>
      </c>
      <c r="H180" s="1">
        <v>36174</v>
      </c>
      <c r="I180" s="4">
        <f>((Table1_1[[#This Row],[Likes]]+Table1_1[[#This Row],[Shares]]+Table1_1[[#This Row],[Comments]])/Table1_1[[#This Row],[Impressions]])*100</f>
        <v>5.2993862995521646</v>
      </c>
      <c r="J180" s="3" t="s">
        <v>27</v>
      </c>
    </row>
    <row r="181" spans="1:10" x14ac:dyDescent="0.3">
      <c r="A181" s="1" t="s">
        <v>129</v>
      </c>
      <c r="B181" s="1" t="s">
        <v>10</v>
      </c>
      <c r="C181" s="2">
        <v>45704</v>
      </c>
      <c r="D181" s="1" t="s">
        <v>11</v>
      </c>
      <c r="E181" s="1">
        <v>1333</v>
      </c>
      <c r="F181" s="1">
        <v>286</v>
      </c>
      <c r="G181" s="1">
        <v>298</v>
      </c>
      <c r="H181" s="1">
        <v>36174</v>
      </c>
      <c r="I181" s="4">
        <f>((Table1_1[[#This Row],[Likes]]+Table1_1[[#This Row],[Shares]]+Table1_1[[#This Row],[Comments]])/Table1_1[[#This Row],[Impressions]])*100</f>
        <v>5.2993862995521646</v>
      </c>
      <c r="J181" s="3" t="s">
        <v>24</v>
      </c>
    </row>
    <row r="182" spans="1:10" x14ac:dyDescent="0.3">
      <c r="A182" s="1" t="s">
        <v>130</v>
      </c>
      <c r="B182" s="1" t="s">
        <v>10</v>
      </c>
      <c r="C182" s="2">
        <v>45544</v>
      </c>
      <c r="D182" s="1" t="s">
        <v>11</v>
      </c>
      <c r="E182" s="1">
        <v>1616</v>
      </c>
      <c r="F182" s="1">
        <v>360</v>
      </c>
      <c r="G182" s="1">
        <v>180</v>
      </c>
      <c r="H182" s="1">
        <v>54342</v>
      </c>
      <c r="I182" s="4">
        <f>((Table1_1[[#This Row],[Likes]]+Table1_1[[#This Row],[Shares]]+Table1_1[[#This Row],[Comments]])/Table1_1[[#This Row],[Impressions]])*100</f>
        <v>3.967465312281476</v>
      </c>
      <c r="J182" s="3" t="s">
        <v>27</v>
      </c>
    </row>
    <row r="183" spans="1:10" x14ac:dyDescent="0.3">
      <c r="A183" s="1" t="s">
        <v>130</v>
      </c>
      <c r="B183" s="1" t="s">
        <v>10</v>
      </c>
      <c r="C183" s="2">
        <v>45544</v>
      </c>
      <c r="D183" s="1" t="s">
        <v>11</v>
      </c>
      <c r="E183" s="1">
        <v>1616</v>
      </c>
      <c r="F183" s="1">
        <v>360</v>
      </c>
      <c r="G183" s="1">
        <v>180</v>
      </c>
      <c r="H183" s="1">
        <v>54342</v>
      </c>
      <c r="I183" s="4">
        <f>((Table1_1[[#This Row],[Likes]]+Table1_1[[#This Row],[Shares]]+Table1_1[[#This Row],[Comments]])/Table1_1[[#This Row],[Impressions]])*100</f>
        <v>3.967465312281476</v>
      </c>
      <c r="J183" s="3" t="s">
        <v>24</v>
      </c>
    </row>
    <row r="184" spans="1:10" x14ac:dyDescent="0.3">
      <c r="A184" s="1" t="s">
        <v>131</v>
      </c>
      <c r="B184" s="1" t="s">
        <v>15</v>
      </c>
      <c r="C184" s="2">
        <v>45489</v>
      </c>
      <c r="D184" s="1" t="s">
        <v>11</v>
      </c>
      <c r="E184" s="1">
        <v>1803</v>
      </c>
      <c r="F184" s="1">
        <v>273</v>
      </c>
      <c r="G184" s="1">
        <v>287</v>
      </c>
      <c r="H184" s="1">
        <v>46176</v>
      </c>
      <c r="I184" s="4">
        <f>((Table1_1[[#This Row],[Likes]]+Table1_1[[#This Row],[Shares]]+Table1_1[[#This Row],[Comments]])/Table1_1[[#This Row],[Impressions]])*100</f>
        <v>5.1173769923769923</v>
      </c>
      <c r="J184" s="3" t="s">
        <v>24</v>
      </c>
    </row>
    <row r="185" spans="1:10" x14ac:dyDescent="0.3">
      <c r="A185" s="1" t="s">
        <v>132</v>
      </c>
      <c r="B185" s="1" t="s">
        <v>10</v>
      </c>
      <c r="C185" s="2">
        <v>45762</v>
      </c>
      <c r="D185" s="1" t="s">
        <v>11</v>
      </c>
      <c r="E185" s="1">
        <v>4177</v>
      </c>
      <c r="F185" s="1">
        <v>489</v>
      </c>
      <c r="G185" s="1">
        <v>331</v>
      </c>
      <c r="H185" s="1">
        <v>57451</v>
      </c>
      <c r="I185" s="4">
        <f>((Table1_1[[#This Row],[Likes]]+Table1_1[[#This Row],[Shares]]+Table1_1[[#This Row],[Comments]])/Table1_1[[#This Row],[Impressions]])*100</f>
        <v>8.6978468608031196</v>
      </c>
      <c r="J185" s="3" t="s">
        <v>13</v>
      </c>
    </row>
    <row r="186" spans="1:10" x14ac:dyDescent="0.3">
      <c r="A186" s="1" t="s">
        <v>133</v>
      </c>
      <c r="B186" s="1" t="s">
        <v>10</v>
      </c>
      <c r="C186" s="2">
        <v>45781</v>
      </c>
      <c r="D186" s="1" t="s">
        <v>16</v>
      </c>
      <c r="E186" s="1">
        <v>1311</v>
      </c>
      <c r="F186" s="1">
        <v>181</v>
      </c>
      <c r="G186" s="1">
        <v>361</v>
      </c>
      <c r="H186" s="1">
        <v>37148</v>
      </c>
      <c r="I186" s="4">
        <f>((Table1_1[[#This Row],[Likes]]+Table1_1[[#This Row],[Shares]]+Table1_1[[#This Row],[Comments]])/Table1_1[[#This Row],[Impressions]])*100</f>
        <v>4.9881554861634543</v>
      </c>
      <c r="J186" s="3" t="s">
        <v>24</v>
      </c>
    </row>
    <row r="187" spans="1:10" x14ac:dyDescent="0.3">
      <c r="A187" s="1" t="s">
        <v>134</v>
      </c>
      <c r="B187" s="1" t="s">
        <v>10</v>
      </c>
      <c r="C187" s="2">
        <v>45340</v>
      </c>
      <c r="D187" s="1" t="s">
        <v>16</v>
      </c>
      <c r="E187" s="1">
        <v>1516</v>
      </c>
      <c r="F187" s="1">
        <v>215</v>
      </c>
      <c r="G187" s="1">
        <v>332</v>
      </c>
      <c r="H187" s="1">
        <v>58981</v>
      </c>
      <c r="I187" s="4">
        <f>((Table1_1[[#This Row],[Likes]]+Table1_1[[#This Row],[Shares]]+Table1_1[[#This Row],[Comments]])/Table1_1[[#This Row],[Impressions]])*100</f>
        <v>3.4977365592309386</v>
      </c>
      <c r="J187" s="3" t="s">
        <v>24</v>
      </c>
    </row>
    <row r="188" spans="1:10" x14ac:dyDescent="0.3">
      <c r="A188" s="1" t="s">
        <v>135</v>
      </c>
      <c r="B188" s="1" t="s">
        <v>15</v>
      </c>
      <c r="C188" s="2">
        <v>45428</v>
      </c>
      <c r="D188" s="1" t="s">
        <v>16</v>
      </c>
      <c r="E188" s="1">
        <v>2023</v>
      </c>
      <c r="F188" s="1">
        <v>124</v>
      </c>
      <c r="G188" s="1">
        <v>99</v>
      </c>
      <c r="H188" s="1">
        <v>54524</v>
      </c>
      <c r="I188" s="4">
        <f>((Table1_1[[#This Row],[Likes]]+Table1_1[[#This Row],[Shares]]+Table1_1[[#This Row],[Comments]])/Table1_1[[#This Row],[Impressions]])*100</f>
        <v>4.119286919521679</v>
      </c>
      <c r="J188" s="3" t="s">
        <v>13</v>
      </c>
    </row>
    <row r="189" spans="1:10" x14ac:dyDescent="0.3">
      <c r="A189" s="1" t="s">
        <v>135</v>
      </c>
      <c r="B189" s="1" t="s">
        <v>15</v>
      </c>
      <c r="C189" s="2">
        <v>45428</v>
      </c>
      <c r="D189" s="1" t="s">
        <v>16</v>
      </c>
      <c r="E189" s="1">
        <v>2023</v>
      </c>
      <c r="F189" s="1">
        <v>124</v>
      </c>
      <c r="G189" s="1">
        <v>99</v>
      </c>
      <c r="H189" s="1">
        <v>54524</v>
      </c>
      <c r="I189" s="4">
        <f>((Table1_1[[#This Row],[Likes]]+Table1_1[[#This Row],[Shares]]+Table1_1[[#This Row],[Comments]])/Table1_1[[#This Row],[Impressions]])*100</f>
        <v>4.119286919521679</v>
      </c>
      <c r="J189" s="3" t="s">
        <v>319</v>
      </c>
    </row>
    <row r="190" spans="1:10" x14ac:dyDescent="0.3">
      <c r="A190" s="1" t="s">
        <v>136</v>
      </c>
      <c r="B190" s="1" t="s">
        <v>15</v>
      </c>
      <c r="C190" s="2">
        <v>45806</v>
      </c>
      <c r="D190" s="1" t="s">
        <v>16</v>
      </c>
      <c r="E190" s="1">
        <v>2134</v>
      </c>
      <c r="F190" s="1">
        <v>322</v>
      </c>
      <c r="G190" s="1">
        <v>114</v>
      </c>
      <c r="H190" s="1">
        <v>44338</v>
      </c>
      <c r="I190" s="4">
        <f>((Table1_1[[#This Row],[Likes]]+Table1_1[[#This Row],[Shares]]+Table1_1[[#This Row],[Comments]])/Table1_1[[#This Row],[Impressions]])*100</f>
        <v>5.7963823356939868</v>
      </c>
      <c r="J190" s="3" t="s">
        <v>319</v>
      </c>
    </row>
    <row r="191" spans="1:10" x14ac:dyDescent="0.3">
      <c r="A191" s="1" t="s">
        <v>136</v>
      </c>
      <c r="B191" s="1" t="s">
        <v>15</v>
      </c>
      <c r="C191" s="2">
        <v>45806</v>
      </c>
      <c r="D191" s="1" t="s">
        <v>16</v>
      </c>
      <c r="E191" s="1">
        <v>2134</v>
      </c>
      <c r="F191" s="1">
        <v>322</v>
      </c>
      <c r="G191" s="1">
        <v>114</v>
      </c>
      <c r="H191" s="1">
        <v>44338</v>
      </c>
      <c r="I191" s="4">
        <f>((Table1_1[[#This Row],[Likes]]+Table1_1[[#This Row],[Shares]]+Table1_1[[#This Row],[Comments]])/Table1_1[[#This Row],[Impressions]])*100</f>
        <v>5.7963823356939868</v>
      </c>
      <c r="J191" s="3" t="s">
        <v>24</v>
      </c>
    </row>
    <row r="192" spans="1:10" x14ac:dyDescent="0.3">
      <c r="A192" s="1" t="s">
        <v>137</v>
      </c>
      <c r="B192" s="1" t="s">
        <v>10</v>
      </c>
      <c r="C192" s="2">
        <v>45674</v>
      </c>
      <c r="D192" s="1" t="s">
        <v>11</v>
      </c>
      <c r="E192" s="1">
        <v>2266</v>
      </c>
      <c r="F192" s="1">
        <v>126</v>
      </c>
      <c r="G192" s="1">
        <v>140</v>
      </c>
      <c r="H192" s="1">
        <v>53759</v>
      </c>
      <c r="I192" s="4">
        <f>((Table1_1[[#This Row],[Likes]]+Table1_1[[#This Row],[Shares]]+Table1_1[[#This Row],[Comments]])/Table1_1[[#This Row],[Impressions]])*100</f>
        <v>4.7099090384865789</v>
      </c>
      <c r="J192" s="3" t="s">
        <v>13</v>
      </c>
    </row>
    <row r="193" spans="1:10" x14ac:dyDescent="0.3">
      <c r="A193" s="1" t="s">
        <v>138</v>
      </c>
      <c r="B193" s="1" t="s">
        <v>10</v>
      </c>
      <c r="C193" s="2">
        <v>45777</v>
      </c>
      <c r="D193" s="1" t="s">
        <v>16</v>
      </c>
      <c r="E193" s="1">
        <v>3916</v>
      </c>
      <c r="F193" s="1">
        <v>459</v>
      </c>
      <c r="G193" s="1">
        <v>229</v>
      </c>
      <c r="H193" s="1">
        <v>48989</v>
      </c>
      <c r="I193" s="4">
        <f>((Table1_1[[#This Row],[Likes]]+Table1_1[[#This Row],[Shares]]+Table1_1[[#This Row],[Comments]])/Table1_1[[#This Row],[Impressions]])*100</f>
        <v>9.3980281287635989</v>
      </c>
      <c r="J193" s="3" t="s">
        <v>24</v>
      </c>
    </row>
    <row r="194" spans="1:10" x14ac:dyDescent="0.3">
      <c r="A194" s="1" t="s">
        <v>139</v>
      </c>
      <c r="B194" s="1" t="s">
        <v>15</v>
      </c>
      <c r="C194" s="2">
        <v>45346</v>
      </c>
      <c r="D194" s="1" t="s">
        <v>16</v>
      </c>
      <c r="E194" s="1">
        <v>1022</v>
      </c>
      <c r="F194" s="1">
        <v>463</v>
      </c>
      <c r="G194" s="1">
        <v>360</v>
      </c>
      <c r="H194" s="1">
        <v>51468</v>
      </c>
      <c r="I194" s="4">
        <f>((Table1_1[[#This Row],[Likes]]+Table1_1[[#This Row],[Shares]]+Table1_1[[#This Row],[Comments]])/Table1_1[[#This Row],[Impressions]])*100</f>
        <v>3.5847516903707159</v>
      </c>
      <c r="J194" s="3" t="s">
        <v>13</v>
      </c>
    </row>
    <row r="195" spans="1:10" x14ac:dyDescent="0.3">
      <c r="A195" s="1" t="s">
        <v>139</v>
      </c>
      <c r="B195" s="1" t="s">
        <v>15</v>
      </c>
      <c r="C195" s="2">
        <v>45346</v>
      </c>
      <c r="D195" s="1" t="s">
        <v>16</v>
      </c>
      <c r="E195" s="1">
        <v>1022</v>
      </c>
      <c r="F195" s="1">
        <v>463</v>
      </c>
      <c r="G195" s="1">
        <v>360</v>
      </c>
      <c r="H195" s="1">
        <v>51468</v>
      </c>
      <c r="I195" s="4">
        <f>((Table1_1[[#This Row],[Likes]]+Table1_1[[#This Row],[Shares]]+Table1_1[[#This Row],[Comments]])/Table1_1[[#This Row],[Impressions]])*100</f>
        <v>3.5847516903707159</v>
      </c>
      <c r="J195" s="3" t="s">
        <v>319</v>
      </c>
    </row>
    <row r="196" spans="1:10" x14ac:dyDescent="0.3">
      <c r="A196" s="1" t="s">
        <v>140</v>
      </c>
      <c r="B196" s="1" t="s">
        <v>19</v>
      </c>
      <c r="C196" s="2">
        <v>45424</v>
      </c>
      <c r="D196" s="1" t="s">
        <v>11</v>
      </c>
      <c r="E196" s="1">
        <v>2911</v>
      </c>
      <c r="F196" s="1">
        <v>467</v>
      </c>
      <c r="G196" s="1">
        <v>94</v>
      </c>
      <c r="H196" s="1">
        <v>59083</v>
      </c>
      <c r="I196" s="4">
        <f>((Table1_1[[#This Row],[Likes]]+Table1_1[[#This Row],[Shares]]+Table1_1[[#This Row],[Comments]])/Table1_1[[#This Row],[Impressions]])*100</f>
        <v>5.8764788517847775</v>
      </c>
      <c r="J196" s="3" t="s">
        <v>13</v>
      </c>
    </row>
    <row r="197" spans="1:10" x14ac:dyDescent="0.3">
      <c r="A197" s="1" t="s">
        <v>140</v>
      </c>
      <c r="B197" s="1" t="s">
        <v>19</v>
      </c>
      <c r="C197" s="2">
        <v>45424</v>
      </c>
      <c r="D197" s="1" t="s">
        <v>11</v>
      </c>
      <c r="E197" s="1">
        <v>2911</v>
      </c>
      <c r="F197" s="1">
        <v>467</v>
      </c>
      <c r="G197" s="1">
        <v>94</v>
      </c>
      <c r="H197" s="1">
        <v>59083</v>
      </c>
      <c r="I197" s="4">
        <f>((Table1_1[[#This Row],[Likes]]+Table1_1[[#This Row],[Shares]]+Table1_1[[#This Row],[Comments]])/Table1_1[[#This Row],[Impressions]])*100</f>
        <v>5.8764788517847775</v>
      </c>
      <c r="J197" s="3" t="s">
        <v>320</v>
      </c>
    </row>
    <row r="198" spans="1:10" x14ac:dyDescent="0.3">
      <c r="A198" s="1" t="s">
        <v>141</v>
      </c>
      <c r="B198" s="1" t="s">
        <v>15</v>
      </c>
      <c r="C198" s="2">
        <v>45421</v>
      </c>
      <c r="D198" s="1" t="s">
        <v>16</v>
      </c>
      <c r="E198" s="1">
        <v>3277</v>
      </c>
      <c r="F198" s="1">
        <v>423</v>
      </c>
      <c r="G198" s="1">
        <v>259</v>
      </c>
      <c r="H198" s="1">
        <v>46328</v>
      </c>
      <c r="I198" s="4">
        <f>((Table1_1[[#This Row],[Likes]]+Table1_1[[#This Row],[Shares]]+Table1_1[[#This Row],[Comments]])/Table1_1[[#This Row],[Impressions]])*100</f>
        <v>8.545587981350371</v>
      </c>
      <c r="J198" s="3" t="s">
        <v>27</v>
      </c>
    </row>
    <row r="199" spans="1:10" x14ac:dyDescent="0.3">
      <c r="A199" s="1" t="s">
        <v>141</v>
      </c>
      <c r="B199" s="1" t="s">
        <v>15</v>
      </c>
      <c r="C199" s="2">
        <v>45421</v>
      </c>
      <c r="D199" s="1" t="s">
        <v>16</v>
      </c>
      <c r="E199" s="1">
        <v>3277</v>
      </c>
      <c r="F199" s="1">
        <v>423</v>
      </c>
      <c r="G199" s="1">
        <v>259</v>
      </c>
      <c r="H199" s="1">
        <v>46328</v>
      </c>
      <c r="I199" s="4">
        <f>((Table1_1[[#This Row],[Likes]]+Table1_1[[#This Row],[Shares]]+Table1_1[[#This Row],[Comments]])/Table1_1[[#This Row],[Impressions]])*100</f>
        <v>8.545587981350371</v>
      </c>
      <c r="J199" s="3" t="s">
        <v>24</v>
      </c>
    </row>
    <row r="200" spans="1:10" x14ac:dyDescent="0.3">
      <c r="A200" s="1" t="s">
        <v>142</v>
      </c>
      <c r="B200" s="1" t="s">
        <v>15</v>
      </c>
      <c r="C200" s="2">
        <v>45602</v>
      </c>
      <c r="D200" s="1" t="s">
        <v>11</v>
      </c>
      <c r="E200" s="1">
        <v>2956</v>
      </c>
      <c r="F200" s="1">
        <v>381</v>
      </c>
      <c r="G200" s="1">
        <v>345</v>
      </c>
      <c r="H200" s="1">
        <v>33347</v>
      </c>
      <c r="I200" s="4">
        <f>((Table1_1[[#This Row],[Likes]]+Table1_1[[#This Row],[Shares]]+Table1_1[[#This Row],[Comments]])/Table1_1[[#This Row],[Impressions]])*100</f>
        <v>11.041472996071612</v>
      </c>
      <c r="J200" s="3" t="s">
        <v>24</v>
      </c>
    </row>
    <row r="201" spans="1:10" x14ac:dyDescent="0.3">
      <c r="A201" s="1" t="s">
        <v>143</v>
      </c>
      <c r="B201" s="1" t="s">
        <v>15</v>
      </c>
      <c r="C201" s="2">
        <v>45295</v>
      </c>
      <c r="D201" s="1" t="s">
        <v>16</v>
      </c>
      <c r="E201" s="1">
        <v>3208</v>
      </c>
      <c r="F201" s="1">
        <v>476</v>
      </c>
      <c r="G201" s="1">
        <v>277</v>
      </c>
      <c r="H201" s="1">
        <v>56072</v>
      </c>
      <c r="I201" s="4">
        <f>((Table1_1[[#This Row],[Likes]]+Table1_1[[#This Row],[Shares]]+Table1_1[[#This Row],[Comments]])/Table1_1[[#This Row],[Impressions]])*100</f>
        <v>7.064131830503638</v>
      </c>
      <c r="J201" s="3" t="s">
        <v>319</v>
      </c>
    </row>
    <row r="202" spans="1:10" x14ac:dyDescent="0.3">
      <c r="A202" s="1" t="s">
        <v>143</v>
      </c>
      <c r="B202" s="1" t="s">
        <v>15</v>
      </c>
      <c r="C202" s="2">
        <v>45295</v>
      </c>
      <c r="D202" s="1" t="s">
        <v>16</v>
      </c>
      <c r="E202" s="1">
        <v>3208</v>
      </c>
      <c r="F202" s="1">
        <v>476</v>
      </c>
      <c r="G202" s="1">
        <v>277</v>
      </c>
      <c r="H202" s="1">
        <v>56072</v>
      </c>
      <c r="I202" s="4">
        <f>((Table1_1[[#This Row],[Likes]]+Table1_1[[#This Row],[Shares]]+Table1_1[[#This Row],[Comments]])/Table1_1[[#This Row],[Impressions]])*100</f>
        <v>7.064131830503638</v>
      </c>
      <c r="J202" s="3" t="s">
        <v>24</v>
      </c>
    </row>
    <row r="203" spans="1:10" x14ac:dyDescent="0.3">
      <c r="A203" s="1" t="s">
        <v>144</v>
      </c>
      <c r="B203" s="1" t="s">
        <v>15</v>
      </c>
      <c r="C203" s="2">
        <v>45319</v>
      </c>
      <c r="D203" s="1" t="s">
        <v>11</v>
      </c>
      <c r="E203" s="1">
        <v>1456</v>
      </c>
      <c r="F203" s="1">
        <v>265</v>
      </c>
      <c r="G203" s="1">
        <v>137</v>
      </c>
      <c r="H203" s="1">
        <v>53485</v>
      </c>
      <c r="I203" s="4">
        <f>((Table1_1[[#This Row],[Likes]]+Table1_1[[#This Row],[Shares]]+Table1_1[[#This Row],[Comments]])/Table1_1[[#This Row],[Impressions]])*100</f>
        <v>3.4738711788351875</v>
      </c>
      <c r="J203" s="3" t="s">
        <v>27</v>
      </c>
    </row>
    <row r="204" spans="1:10" x14ac:dyDescent="0.3">
      <c r="A204" s="1" t="s">
        <v>145</v>
      </c>
      <c r="B204" s="1" t="s">
        <v>10</v>
      </c>
      <c r="C204" s="2">
        <v>45344</v>
      </c>
      <c r="D204" s="1" t="s">
        <v>11</v>
      </c>
      <c r="E204" s="1">
        <v>1902</v>
      </c>
      <c r="F204" s="1">
        <v>394</v>
      </c>
      <c r="G204" s="1">
        <v>279</v>
      </c>
      <c r="H204" s="1">
        <v>24615</v>
      </c>
      <c r="I204" s="4">
        <f>((Table1_1[[#This Row],[Likes]]+Table1_1[[#This Row],[Shares]]+Table1_1[[#This Row],[Comments]])/Table1_1[[#This Row],[Impressions]])*100</f>
        <v>10.461100954702417</v>
      </c>
      <c r="J204" s="3" t="s">
        <v>27</v>
      </c>
    </row>
    <row r="205" spans="1:10" x14ac:dyDescent="0.3">
      <c r="A205" s="1" t="s">
        <v>145</v>
      </c>
      <c r="B205" s="1" t="s">
        <v>10</v>
      </c>
      <c r="C205" s="2">
        <v>45344</v>
      </c>
      <c r="D205" s="1" t="s">
        <v>11</v>
      </c>
      <c r="E205" s="1">
        <v>1902</v>
      </c>
      <c r="F205" s="1">
        <v>394</v>
      </c>
      <c r="G205" s="1">
        <v>279</v>
      </c>
      <c r="H205" s="1">
        <v>24615</v>
      </c>
      <c r="I205" s="4">
        <f>((Table1_1[[#This Row],[Likes]]+Table1_1[[#This Row],[Shares]]+Table1_1[[#This Row],[Comments]])/Table1_1[[#This Row],[Impressions]])*100</f>
        <v>10.461100954702417</v>
      </c>
      <c r="J205" s="3" t="s">
        <v>24</v>
      </c>
    </row>
    <row r="206" spans="1:10" x14ac:dyDescent="0.3">
      <c r="A206" s="1" t="s">
        <v>146</v>
      </c>
      <c r="B206" s="1" t="s">
        <v>15</v>
      </c>
      <c r="C206" s="2">
        <v>45839</v>
      </c>
      <c r="D206" s="1" t="s">
        <v>16</v>
      </c>
      <c r="E206" s="1">
        <v>3219</v>
      </c>
      <c r="F206" s="1">
        <v>424</v>
      </c>
      <c r="G206" s="1">
        <v>267</v>
      </c>
      <c r="H206" s="1">
        <v>48879</v>
      </c>
      <c r="I206" s="4">
        <f>((Table1_1[[#This Row],[Likes]]+Table1_1[[#This Row],[Shares]]+Table1_1[[#This Row],[Comments]])/Table1_1[[#This Row],[Impressions]])*100</f>
        <v>7.9993453221219744</v>
      </c>
      <c r="J206" s="3" t="s">
        <v>13</v>
      </c>
    </row>
    <row r="207" spans="1:10" x14ac:dyDescent="0.3">
      <c r="A207" s="1" t="s">
        <v>146</v>
      </c>
      <c r="B207" s="1" t="s">
        <v>15</v>
      </c>
      <c r="C207" s="2">
        <v>45839</v>
      </c>
      <c r="D207" s="1" t="s">
        <v>16</v>
      </c>
      <c r="E207" s="1">
        <v>3219</v>
      </c>
      <c r="F207" s="1">
        <v>424</v>
      </c>
      <c r="G207" s="1">
        <v>267</v>
      </c>
      <c r="H207" s="1">
        <v>48879</v>
      </c>
      <c r="I207" s="4">
        <f>((Table1_1[[#This Row],[Likes]]+Table1_1[[#This Row],[Shares]]+Table1_1[[#This Row],[Comments]])/Table1_1[[#This Row],[Impressions]])*100</f>
        <v>7.9993453221219744</v>
      </c>
      <c r="J207" s="3" t="s">
        <v>319</v>
      </c>
    </row>
    <row r="208" spans="1:10" x14ac:dyDescent="0.3">
      <c r="A208" s="1" t="s">
        <v>147</v>
      </c>
      <c r="B208" s="1" t="s">
        <v>19</v>
      </c>
      <c r="C208" s="2">
        <v>45301</v>
      </c>
      <c r="D208" s="1" t="s">
        <v>11</v>
      </c>
      <c r="E208" s="1">
        <v>1261</v>
      </c>
      <c r="F208" s="1">
        <v>190</v>
      </c>
      <c r="G208" s="1">
        <v>233</v>
      </c>
      <c r="H208" s="1">
        <v>59888</v>
      </c>
      <c r="I208" s="4">
        <f>((Table1_1[[#This Row],[Likes]]+Table1_1[[#This Row],[Shares]]+Table1_1[[#This Row],[Comments]])/Table1_1[[#This Row],[Impressions]])*100</f>
        <v>2.8119155757413838</v>
      </c>
      <c r="J208" s="3" t="s">
        <v>13</v>
      </c>
    </row>
    <row r="209" spans="1:10" x14ac:dyDescent="0.3">
      <c r="A209" s="1" t="s">
        <v>147</v>
      </c>
      <c r="B209" s="1" t="s">
        <v>19</v>
      </c>
      <c r="C209" s="2">
        <v>45301</v>
      </c>
      <c r="D209" s="1" t="s">
        <v>11</v>
      </c>
      <c r="E209" s="1">
        <v>1261</v>
      </c>
      <c r="F209" s="1">
        <v>190</v>
      </c>
      <c r="G209" s="1">
        <v>233</v>
      </c>
      <c r="H209" s="1">
        <v>59888</v>
      </c>
      <c r="I209" s="4">
        <f>((Table1_1[[#This Row],[Likes]]+Table1_1[[#This Row],[Shares]]+Table1_1[[#This Row],[Comments]])/Table1_1[[#This Row],[Impressions]])*100</f>
        <v>2.8119155757413838</v>
      </c>
      <c r="J209" s="3" t="s">
        <v>320</v>
      </c>
    </row>
    <row r="210" spans="1:10" x14ac:dyDescent="0.3">
      <c r="A210" s="1" t="s">
        <v>148</v>
      </c>
      <c r="B210" s="1" t="s">
        <v>15</v>
      </c>
      <c r="C210" s="2">
        <v>45736</v>
      </c>
      <c r="D210" s="1" t="s">
        <v>11</v>
      </c>
      <c r="E210" s="1">
        <v>1564</v>
      </c>
      <c r="F210" s="1">
        <v>362</v>
      </c>
      <c r="G210" s="1">
        <v>371</v>
      </c>
      <c r="H210" s="1">
        <v>42075</v>
      </c>
      <c r="I210" s="4">
        <f>((Table1_1[[#This Row],[Likes]]+Table1_1[[#This Row],[Shares]]+Table1_1[[#This Row],[Comments]])/Table1_1[[#This Row],[Impressions]])*100</f>
        <v>5.4592988710635764</v>
      </c>
      <c r="J210" s="3" t="s">
        <v>27</v>
      </c>
    </row>
    <row r="211" spans="1:10" x14ac:dyDescent="0.3">
      <c r="A211" s="1" t="s">
        <v>149</v>
      </c>
      <c r="B211" s="1" t="s">
        <v>15</v>
      </c>
      <c r="C211" s="2">
        <v>45563</v>
      </c>
      <c r="D211" s="1" t="s">
        <v>11</v>
      </c>
      <c r="E211" s="1">
        <v>4006</v>
      </c>
      <c r="F211" s="1">
        <v>420</v>
      </c>
      <c r="G211" s="1">
        <v>194</v>
      </c>
      <c r="H211" s="1">
        <v>49964</v>
      </c>
      <c r="I211" s="4">
        <f>((Table1_1[[#This Row],[Likes]]+Table1_1[[#This Row],[Shares]]+Table1_1[[#This Row],[Comments]])/Table1_1[[#This Row],[Impressions]])*100</f>
        <v>9.2466575934672957</v>
      </c>
      <c r="J211" s="3" t="s">
        <v>24</v>
      </c>
    </row>
    <row r="212" spans="1:10" x14ac:dyDescent="0.3">
      <c r="A212" s="1" t="s">
        <v>150</v>
      </c>
      <c r="B212" s="1" t="s">
        <v>19</v>
      </c>
      <c r="C212" s="2">
        <v>45318</v>
      </c>
      <c r="D212" s="1" t="s">
        <v>11</v>
      </c>
      <c r="E212" s="1">
        <v>1976</v>
      </c>
      <c r="F212" s="1">
        <v>262</v>
      </c>
      <c r="G212" s="1">
        <v>218</v>
      </c>
      <c r="H212" s="1">
        <v>51696</v>
      </c>
      <c r="I212" s="4">
        <f>((Table1_1[[#This Row],[Likes]]+Table1_1[[#This Row],[Shares]]+Table1_1[[#This Row],[Comments]])/Table1_1[[#This Row],[Impressions]])*100</f>
        <v>4.7508511296812133</v>
      </c>
      <c r="J212" s="3" t="s">
        <v>13</v>
      </c>
    </row>
    <row r="213" spans="1:10" x14ac:dyDescent="0.3">
      <c r="A213" s="1" t="s">
        <v>150</v>
      </c>
      <c r="B213" s="1" t="s">
        <v>19</v>
      </c>
      <c r="C213" s="2">
        <v>45318</v>
      </c>
      <c r="D213" s="1" t="s">
        <v>11</v>
      </c>
      <c r="E213" s="1">
        <v>1976</v>
      </c>
      <c r="F213" s="1">
        <v>262</v>
      </c>
      <c r="G213" s="1">
        <v>218</v>
      </c>
      <c r="H213" s="1">
        <v>51696</v>
      </c>
      <c r="I213" s="4">
        <f>((Table1_1[[#This Row],[Likes]]+Table1_1[[#This Row],[Shares]]+Table1_1[[#This Row],[Comments]])/Table1_1[[#This Row],[Impressions]])*100</f>
        <v>4.7508511296812133</v>
      </c>
      <c r="J213" s="3" t="s">
        <v>320</v>
      </c>
    </row>
    <row r="214" spans="1:10" x14ac:dyDescent="0.3">
      <c r="A214" s="1" t="s">
        <v>151</v>
      </c>
      <c r="B214" s="1" t="s">
        <v>15</v>
      </c>
      <c r="C214" s="2">
        <v>45792</v>
      </c>
      <c r="D214" s="1" t="s">
        <v>11</v>
      </c>
      <c r="E214" s="1">
        <v>1583</v>
      </c>
      <c r="F214" s="1">
        <v>433</v>
      </c>
      <c r="G214" s="1">
        <v>249</v>
      </c>
      <c r="H214" s="1">
        <v>30256</v>
      </c>
      <c r="I214" s="4">
        <f>((Table1_1[[#This Row],[Likes]]+Table1_1[[#This Row],[Shares]]+Table1_1[[#This Row],[Comments]])/Table1_1[[#This Row],[Impressions]])*100</f>
        <v>7.4861184558434681</v>
      </c>
      <c r="J214" s="3" t="s">
        <v>24</v>
      </c>
    </row>
    <row r="215" spans="1:10" x14ac:dyDescent="0.3">
      <c r="A215" s="1" t="s">
        <v>152</v>
      </c>
      <c r="B215" s="1" t="s">
        <v>15</v>
      </c>
      <c r="C215" s="2">
        <v>45569</v>
      </c>
      <c r="D215" s="1" t="s">
        <v>16</v>
      </c>
      <c r="E215" s="1">
        <v>2870</v>
      </c>
      <c r="F215" s="1">
        <v>380</v>
      </c>
      <c r="G215" s="1">
        <v>393</v>
      </c>
      <c r="H215" s="1">
        <v>37621</v>
      </c>
      <c r="I215" s="4">
        <f>((Table1_1[[#This Row],[Likes]]+Table1_1[[#This Row],[Shares]]+Table1_1[[#This Row],[Comments]])/Table1_1[[#This Row],[Impressions]])*100</f>
        <v>9.6834214933149045</v>
      </c>
      <c r="J215" s="3" t="s">
        <v>319</v>
      </c>
    </row>
    <row r="216" spans="1:10" x14ac:dyDescent="0.3">
      <c r="A216" s="1" t="s">
        <v>152</v>
      </c>
      <c r="B216" s="1" t="s">
        <v>15</v>
      </c>
      <c r="C216" s="2">
        <v>45569</v>
      </c>
      <c r="D216" s="1" t="s">
        <v>16</v>
      </c>
      <c r="E216" s="1">
        <v>2870</v>
      </c>
      <c r="F216" s="1">
        <v>380</v>
      </c>
      <c r="G216" s="1">
        <v>393</v>
      </c>
      <c r="H216" s="1">
        <v>37621</v>
      </c>
      <c r="I216" s="4">
        <f>((Table1_1[[#This Row],[Likes]]+Table1_1[[#This Row],[Shares]]+Table1_1[[#This Row],[Comments]])/Table1_1[[#This Row],[Impressions]])*100</f>
        <v>9.6834214933149045</v>
      </c>
      <c r="J216" s="3" t="s">
        <v>24</v>
      </c>
    </row>
    <row r="217" spans="1:10" x14ac:dyDescent="0.3">
      <c r="A217" s="1" t="s">
        <v>153</v>
      </c>
      <c r="B217" s="1" t="s">
        <v>15</v>
      </c>
      <c r="C217" s="2">
        <v>45615</v>
      </c>
      <c r="D217" s="1" t="s">
        <v>11</v>
      </c>
      <c r="E217" s="1">
        <v>3728</v>
      </c>
      <c r="F217" s="1">
        <v>271</v>
      </c>
      <c r="G217" s="1">
        <v>275</v>
      </c>
      <c r="H217" s="1">
        <v>22827</v>
      </c>
      <c r="I217" s="4">
        <f>((Table1_1[[#This Row],[Likes]]+Table1_1[[#This Row],[Shares]]+Table1_1[[#This Row],[Comments]])/Table1_1[[#This Row],[Impressions]])*100</f>
        <v>18.723441538528935</v>
      </c>
      <c r="J217" s="3" t="s">
        <v>24</v>
      </c>
    </row>
    <row r="218" spans="1:10" x14ac:dyDescent="0.3">
      <c r="A218" s="1" t="s">
        <v>154</v>
      </c>
      <c r="B218" s="1" t="s">
        <v>15</v>
      </c>
      <c r="C218" s="2">
        <v>45387</v>
      </c>
      <c r="D218" s="1" t="s">
        <v>16</v>
      </c>
      <c r="E218" s="1">
        <v>4965</v>
      </c>
      <c r="F218" s="1">
        <v>175</v>
      </c>
      <c r="G218" s="1">
        <v>307</v>
      </c>
      <c r="H218" s="1">
        <v>32793</v>
      </c>
      <c r="I218" s="4">
        <f>((Table1_1[[#This Row],[Likes]]+Table1_1[[#This Row],[Shares]]+Table1_1[[#This Row],[Comments]])/Table1_1[[#This Row],[Impressions]])*100</f>
        <v>16.610252187966946</v>
      </c>
      <c r="J218" s="3" t="s">
        <v>27</v>
      </c>
    </row>
    <row r="219" spans="1:10" x14ac:dyDescent="0.3">
      <c r="A219" s="1" t="s">
        <v>154</v>
      </c>
      <c r="B219" s="1" t="s">
        <v>15</v>
      </c>
      <c r="C219" s="2">
        <v>45387</v>
      </c>
      <c r="D219" s="1" t="s">
        <v>16</v>
      </c>
      <c r="E219" s="1">
        <v>4965</v>
      </c>
      <c r="F219" s="1">
        <v>175</v>
      </c>
      <c r="G219" s="1">
        <v>307</v>
      </c>
      <c r="H219" s="1">
        <v>32793</v>
      </c>
      <c r="I219" s="4">
        <f>((Table1_1[[#This Row],[Likes]]+Table1_1[[#This Row],[Shares]]+Table1_1[[#This Row],[Comments]])/Table1_1[[#This Row],[Impressions]])*100</f>
        <v>16.610252187966946</v>
      </c>
      <c r="J219" s="3" t="s">
        <v>24</v>
      </c>
    </row>
    <row r="220" spans="1:10" x14ac:dyDescent="0.3">
      <c r="A220" s="1" t="s">
        <v>155</v>
      </c>
      <c r="B220" s="1" t="s">
        <v>15</v>
      </c>
      <c r="C220" s="2">
        <v>45624</v>
      </c>
      <c r="D220" s="1" t="s">
        <v>16</v>
      </c>
      <c r="E220" s="1">
        <v>1131</v>
      </c>
      <c r="F220" s="1">
        <v>100</v>
      </c>
      <c r="G220" s="1">
        <v>116</v>
      </c>
      <c r="H220" s="1">
        <v>48437</v>
      </c>
      <c r="I220" s="4">
        <f>((Table1_1[[#This Row],[Likes]]+Table1_1[[#This Row],[Shares]]+Table1_1[[#This Row],[Comments]])/Table1_1[[#This Row],[Impressions]])*100</f>
        <v>2.7809319322005903</v>
      </c>
      <c r="J220" s="3" t="s">
        <v>13</v>
      </c>
    </row>
    <row r="221" spans="1:10" x14ac:dyDescent="0.3">
      <c r="A221" s="1" t="s">
        <v>155</v>
      </c>
      <c r="B221" s="1" t="s">
        <v>15</v>
      </c>
      <c r="C221" s="2">
        <v>45624</v>
      </c>
      <c r="D221" s="1" t="s">
        <v>16</v>
      </c>
      <c r="E221" s="1">
        <v>1131</v>
      </c>
      <c r="F221" s="1">
        <v>100</v>
      </c>
      <c r="G221" s="1">
        <v>116</v>
      </c>
      <c r="H221" s="1">
        <v>48437</v>
      </c>
      <c r="I221" s="4">
        <f>((Table1_1[[#This Row],[Likes]]+Table1_1[[#This Row],[Shares]]+Table1_1[[#This Row],[Comments]])/Table1_1[[#This Row],[Impressions]])*100</f>
        <v>2.7809319322005903</v>
      </c>
      <c r="J221" s="3" t="s">
        <v>319</v>
      </c>
    </row>
    <row r="222" spans="1:10" x14ac:dyDescent="0.3">
      <c r="A222" s="1" t="s">
        <v>156</v>
      </c>
      <c r="B222" s="1" t="s">
        <v>15</v>
      </c>
      <c r="C222" s="2">
        <v>45725</v>
      </c>
      <c r="D222" s="1" t="s">
        <v>11</v>
      </c>
      <c r="E222" s="1">
        <v>2754</v>
      </c>
      <c r="F222" s="1">
        <v>215</v>
      </c>
      <c r="G222" s="1">
        <v>264</v>
      </c>
      <c r="H222" s="1">
        <v>27762</v>
      </c>
      <c r="I222" s="4">
        <f>((Table1_1[[#This Row],[Likes]]+Table1_1[[#This Row],[Shares]]+Table1_1[[#This Row],[Comments]])/Table1_1[[#This Row],[Impressions]])*100</f>
        <v>11.645414595490239</v>
      </c>
      <c r="J222" s="3" t="s">
        <v>24</v>
      </c>
    </row>
    <row r="223" spans="1:10" x14ac:dyDescent="0.3">
      <c r="A223" s="1" t="s">
        <v>157</v>
      </c>
      <c r="B223" s="1" t="s">
        <v>15</v>
      </c>
      <c r="C223" s="2">
        <v>45531</v>
      </c>
      <c r="D223" s="1" t="s">
        <v>16</v>
      </c>
      <c r="E223" s="1">
        <v>1856</v>
      </c>
      <c r="F223" s="1">
        <v>357</v>
      </c>
      <c r="G223" s="1">
        <v>348</v>
      </c>
      <c r="H223" s="1">
        <v>29428</v>
      </c>
      <c r="I223" s="4">
        <f>((Table1_1[[#This Row],[Likes]]+Table1_1[[#This Row],[Shares]]+Table1_1[[#This Row],[Comments]])/Table1_1[[#This Row],[Impressions]])*100</f>
        <v>8.7025961669158622</v>
      </c>
      <c r="J223" s="3" t="s">
        <v>319</v>
      </c>
    </row>
    <row r="224" spans="1:10" x14ac:dyDescent="0.3">
      <c r="A224" s="1" t="s">
        <v>157</v>
      </c>
      <c r="B224" s="1" t="s">
        <v>15</v>
      </c>
      <c r="C224" s="2">
        <v>45531</v>
      </c>
      <c r="D224" s="1" t="s">
        <v>16</v>
      </c>
      <c r="E224" s="1">
        <v>1856</v>
      </c>
      <c r="F224" s="1">
        <v>357</v>
      </c>
      <c r="G224" s="1">
        <v>348</v>
      </c>
      <c r="H224" s="1">
        <v>29428</v>
      </c>
      <c r="I224" s="4">
        <f>((Table1_1[[#This Row],[Likes]]+Table1_1[[#This Row],[Shares]]+Table1_1[[#This Row],[Comments]])/Table1_1[[#This Row],[Impressions]])*100</f>
        <v>8.7025961669158622</v>
      </c>
      <c r="J224" s="3" t="s">
        <v>24</v>
      </c>
    </row>
    <row r="225" spans="1:10" x14ac:dyDescent="0.3">
      <c r="A225" s="1" t="s">
        <v>158</v>
      </c>
      <c r="B225" s="1" t="s">
        <v>19</v>
      </c>
      <c r="C225" s="2">
        <v>45566</v>
      </c>
      <c r="D225" s="1" t="s">
        <v>36</v>
      </c>
      <c r="E225" s="1">
        <v>3543</v>
      </c>
      <c r="F225" s="1">
        <v>334</v>
      </c>
      <c r="G225" s="1">
        <v>218</v>
      </c>
      <c r="H225" s="1">
        <v>58007</v>
      </c>
      <c r="I225" s="4">
        <f>((Table1_1[[#This Row],[Likes]]+Table1_1[[#This Row],[Shares]]+Table1_1[[#This Row],[Comments]])/Table1_1[[#This Row],[Impressions]])*100</f>
        <v>7.059492819832089</v>
      </c>
      <c r="J225" s="3" t="s">
        <v>13</v>
      </c>
    </row>
    <row r="226" spans="1:10" x14ac:dyDescent="0.3">
      <c r="A226" s="1" t="s">
        <v>158</v>
      </c>
      <c r="B226" s="1" t="s">
        <v>19</v>
      </c>
      <c r="C226" s="2">
        <v>45566</v>
      </c>
      <c r="D226" s="1" t="s">
        <v>36</v>
      </c>
      <c r="E226" s="1">
        <v>3543</v>
      </c>
      <c r="F226" s="1">
        <v>334</v>
      </c>
      <c r="G226" s="1">
        <v>218</v>
      </c>
      <c r="H226" s="1">
        <v>58007</v>
      </c>
      <c r="I226" s="4">
        <f>((Table1_1[[#This Row],[Likes]]+Table1_1[[#This Row],[Shares]]+Table1_1[[#This Row],[Comments]])/Table1_1[[#This Row],[Impressions]])*100</f>
        <v>7.059492819832089</v>
      </c>
      <c r="J226" s="3" t="s">
        <v>27</v>
      </c>
    </row>
    <row r="227" spans="1:10" x14ac:dyDescent="0.3">
      <c r="A227" s="1" t="s">
        <v>159</v>
      </c>
      <c r="B227" s="1" t="s">
        <v>10</v>
      </c>
      <c r="C227" s="2">
        <v>45647</v>
      </c>
      <c r="D227" s="1" t="s">
        <v>16</v>
      </c>
      <c r="E227" s="1">
        <v>4563</v>
      </c>
      <c r="F227" s="1">
        <v>398</v>
      </c>
      <c r="G227" s="1">
        <v>163</v>
      </c>
      <c r="H227" s="1">
        <v>43679</v>
      </c>
      <c r="I227" s="4">
        <f>((Table1_1[[#This Row],[Likes]]+Table1_1[[#This Row],[Shares]]+Table1_1[[#This Row],[Comments]])/Table1_1[[#This Row],[Impressions]])*100</f>
        <v>11.731037798484397</v>
      </c>
      <c r="J227" s="3" t="s">
        <v>24</v>
      </c>
    </row>
    <row r="228" spans="1:10" x14ac:dyDescent="0.3">
      <c r="A228" s="1" t="s">
        <v>160</v>
      </c>
      <c r="B228" s="1" t="s">
        <v>10</v>
      </c>
      <c r="C228" s="2">
        <v>45460</v>
      </c>
      <c r="D228" s="1" t="s">
        <v>11</v>
      </c>
      <c r="E228" s="1">
        <v>4283</v>
      </c>
      <c r="F228" s="1">
        <v>471</v>
      </c>
      <c r="G228" s="1">
        <v>156</v>
      </c>
      <c r="H228" s="1">
        <v>53004</v>
      </c>
      <c r="I228" s="4">
        <f>((Table1_1[[#This Row],[Likes]]+Table1_1[[#This Row],[Shares]]+Table1_1[[#This Row],[Comments]])/Table1_1[[#This Row],[Impressions]])*100</f>
        <v>9.2634518149573619</v>
      </c>
      <c r="J228" s="3" t="s">
        <v>13</v>
      </c>
    </row>
    <row r="229" spans="1:10" x14ac:dyDescent="0.3">
      <c r="A229" s="1" t="s">
        <v>161</v>
      </c>
      <c r="B229" s="1" t="s">
        <v>10</v>
      </c>
      <c r="C229" s="2">
        <v>45702</v>
      </c>
      <c r="D229" s="1" t="s">
        <v>11</v>
      </c>
      <c r="E229" s="1">
        <v>2329</v>
      </c>
      <c r="F229" s="1">
        <v>373</v>
      </c>
      <c r="G229" s="1">
        <v>291</v>
      </c>
      <c r="H229" s="1">
        <v>49577</v>
      </c>
      <c r="I229" s="4">
        <f>((Table1_1[[#This Row],[Likes]]+Table1_1[[#This Row],[Shares]]+Table1_1[[#This Row],[Comments]])/Table1_1[[#This Row],[Impressions]])*100</f>
        <v>6.0370736430199488</v>
      </c>
      <c r="J229" s="3" t="s">
        <v>27</v>
      </c>
    </row>
    <row r="230" spans="1:10" x14ac:dyDescent="0.3">
      <c r="A230" s="1" t="s">
        <v>161</v>
      </c>
      <c r="B230" s="1" t="s">
        <v>10</v>
      </c>
      <c r="C230" s="2">
        <v>45702</v>
      </c>
      <c r="D230" s="1" t="s">
        <v>11</v>
      </c>
      <c r="E230" s="1">
        <v>2329</v>
      </c>
      <c r="F230" s="1">
        <v>373</v>
      </c>
      <c r="G230" s="1">
        <v>291</v>
      </c>
      <c r="H230" s="1">
        <v>49577</v>
      </c>
      <c r="I230" s="4">
        <f>((Table1_1[[#This Row],[Likes]]+Table1_1[[#This Row],[Shares]]+Table1_1[[#This Row],[Comments]])/Table1_1[[#This Row],[Impressions]])*100</f>
        <v>6.0370736430199488</v>
      </c>
      <c r="J230" s="3" t="s">
        <v>24</v>
      </c>
    </row>
    <row r="231" spans="1:10" x14ac:dyDescent="0.3">
      <c r="A231" s="1" t="s">
        <v>162</v>
      </c>
      <c r="B231" s="1" t="s">
        <v>15</v>
      </c>
      <c r="C231" s="2">
        <v>45805</v>
      </c>
      <c r="D231" s="1" t="s">
        <v>16</v>
      </c>
      <c r="E231" s="1">
        <v>4287</v>
      </c>
      <c r="F231" s="1">
        <v>273</v>
      </c>
      <c r="G231" s="1">
        <v>122</v>
      </c>
      <c r="H231" s="1">
        <v>40792</v>
      </c>
      <c r="I231" s="4">
        <f>((Table1_1[[#This Row],[Likes]]+Table1_1[[#This Row],[Shares]]+Table1_1[[#This Row],[Comments]])/Table1_1[[#This Row],[Impressions]])*100</f>
        <v>11.477740733477154</v>
      </c>
      <c r="J231" s="3" t="s">
        <v>319</v>
      </c>
    </row>
    <row r="232" spans="1:10" x14ac:dyDescent="0.3">
      <c r="A232" s="1" t="s">
        <v>162</v>
      </c>
      <c r="B232" s="1" t="s">
        <v>15</v>
      </c>
      <c r="C232" s="2">
        <v>45805</v>
      </c>
      <c r="D232" s="1" t="s">
        <v>16</v>
      </c>
      <c r="E232" s="1">
        <v>4287</v>
      </c>
      <c r="F232" s="1">
        <v>273</v>
      </c>
      <c r="G232" s="1">
        <v>122</v>
      </c>
      <c r="H232" s="1">
        <v>40792</v>
      </c>
      <c r="I232" s="4">
        <f>((Table1_1[[#This Row],[Likes]]+Table1_1[[#This Row],[Shares]]+Table1_1[[#This Row],[Comments]])/Table1_1[[#This Row],[Impressions]])*100</f>
        <v>11.477740733477154</v>
      </c>
      <c r="J232" s="3" t="s">
        <v>24</v>
      </c>
    </row>
    <row r="233" spans="1:10" x14ac:dyDescent="0.3">
      <c r="A233" s="1" t="s">
        <v>163</v>
      </c>
      <c r="B233" s="1" t="s">
        <v>10</v>
      </c>
      <c r="C233" s="2">
        <v>45799</v>
      </c>
      <c r="D233" s="1" t="s">
        <v>11</v>
      </c>
      <c r="E233" s="1">
        <v>2633</v>
      </c>
      <c r="F233" s="1">
        <v>318</v>
      </c>
      <c r="G233" s="1">
        <v>380</v>
      </c>
      <c r="H233" s="1">
        <v>40869</v>
      </c>
      <c r="I233" s="4">
        <f>((Table1_1[[#This Row],[Likes]]+Table1_1[[#This Row],[Shares]]+Table1_1[[#This Row],[Comments]])/Table1_1[[#This Row],[Impressions]])*100</f>
        <v>8.1504318676747669</v>
      </c>
      <c r="J233" s="3" t="s">
        <v>13</v>
      </c>
    </row>
    <row r="234" spans="1:10" x14ac:dyDescent="0.3">
      <c r="A234" s="1" t="s">
        <v>164</v>
      </c>
      <c r="B234" s="1" t="s">
        <v>15</v>
      </c>
      <c r="C234" s="2">
        <v>45312</v>
      </c>
      <c r="D234" s="1" t="s">
        <v>16</v>
      </c>
      <c r="E234" s="1">
        <v>2383</v>
      </c>
      <c r="F234" s="1">
        <v>136</v>
      </c>
      <c r="G234" s="1">
        <v>302</v>
      </c>
      <c r="H234" s="1">
        <v>39187</v>
      </c>
      <c r="I234" s="4">
        <f>((Table1_1[[#This Row],[Likes]]+Table1_1[[#This Row],[Shares]]+Table1_1[[#This Row],[Comments]])/Table1_1[[#This Row],[Impressions]])*100</f>
        <v>7.1988159338556148</v>
      </c>
      <c r="J234" s="3" t="s">
        <v>319</v>
      </c>
    </row>
    <row r="235" spans="1:10" x14ac:dyDescent="0.3">
      <c r="A235" s="1" t="s">
        <v>164</v>
      </c>
      <c r="B235" s="1" t="s">
        <v>15</v>
      </c>
      <c r="C235" s="2">
        <v>45312</v>
      </c>
      <c r="D235" s="1" t="s">
        <v>16</v>
      </c>
      <c r="E235" s="1">
        <v>2383</v>
      </c>
      <c r="F235" s="1">
        <v>136</v>
      </c>
      <c r="G235" s="1">
        <v>302</v>
      </c>
      <c r="H235" s="1">
        <v>39187</v>
      </c>
      <c r="I235" s="4">
        <f>((Table1_1[[#This Row],[Likes]]+Table1_1[[#This Row],[Shares]]+Table1_1[[#This Row],[Comments]])/Table1_1[[#This Row],[Impressions]])*100</f>
        <v>7.1988159338556148</v>
      </c>
      <c r="J235" s="3" t="s">
        <v>24</v>
      </c>
    </row>
    <row r="236" spans="1:10" x14ac:dyDescent="0.3">
      <c r="A236" s="1" t="s">
        <v>165</v>
      </c>
      <c r="B236" s="1" t="s">
        <v>15</v>
      </c>
      <c r="C236" s="2">
        <v>45696</v>
      </c>
      <c r="D236" s="1" t="s">
        <v>16</v>
      </c>
      <c r="E236" s="1">
        <v>4752</v>
      </c>
      <c r="F236" s="1">
        <v>334</v>
      </c>
      <c r="G236" s="1">
        <v>56</v>
      </c>
      <c r="H236" s="1">
        <v>48017</v>
      </c>
      <c r="I236" s="4">
        <f>((Table1_1[[#This Row],[Likes]]+Table1_1[[#This Row],[Shares]]+Table1_1[[#This Row],[Comments]])/Table1_1[[#This Row],[Impressions]])*100</f>
        <v>10.708707332819627</v>
      </c>
      <c r="J236" s="3" t="s">
        <v>13</v>
      </c>
    </row>
    <row r="237" spans="1:10" x14ac:dyDescent="0.3">
      <c r="A237" s="1" t="s">
        <v>165</v>
      </c>
      <c r="B237" s="1" t="s">
        <v>15</v>
      </c>
      <c r="C237" s="2">
        <v>45696</v>
      </c>
      <c r="D237" s="1" t="s">
        <v>16</v>
      </c>
      <c r="E237" s="1">
        <v>4752</v>
      </c>
      <c r="F237" s="1">
        <v>334</v>
      </c>
      <c r="G237" s="1">
        <v>56</v>
      </c>
      <c r="H237" s="1">
        <v>48017</v>
      </c>
      <c r="I237" s="4">
        <f>((Table1_1[[#This Row],[Likes]]+Table1_1[[#This Row],[Shares]]+Table1_1[[#This Row],[Comments]])/Table1_1[[#This Row],[Impressions]])*100</f>
        <v>10.708707332819627</v>
      </c>
      <c r="J237" s="3" t="s">
        <v>319</v>
      </c>
    </row>
    <row r="238" spans="1:10" x14ac:dyDescent="0.3">
      <c r="A238" s="1" t="s">
        <v>166</v>
      </c>
      <c r="B238" s="1" t="s">
        <v>15</v>
      </c>
      <c r="C238" s="2">
        <v>45760</v>
      </c>
      <c r="D238" s="1" t="s">
        <v>11</v>
      </c>
      <c r="E238" s="1">
        <v>3890</v>
      </c>
      <c r="F238" s="1">
        <v>408</v>
      </c>
      <c r="G238" s="1">
        <v>338</v>
      </c>
      <c r="H238" s="1">
        <v>56994</v>
      </c>
      <c r="I238" s="4">
        <f>((Table1_1[[#This Row],[Likes]]+Table1_1[[#This Row],[Shares]]+Table1_1[[#This Row],[Comments]])/Table1_1[[#This Row],[Impressions]])*100</f>
        <v>8.1341895638137345</v>
      </c>
      <c r="J238" s="3" t="s">
        <v>27</v>
      </c>
    </row>
    <row r="239" spans="1:10" x14ac:dyDescent="0.3">
      <c r="A239" s="1" t="s">
        <v>167</v>
      </c>
      <c r="B239" s="1" t="s">
        <v>15</v>
      </c>
      <c r="C239" s="2">
        <v>45442</v>
      </c>
      <c r="D239" s="1" t="s">
        <v>16</v>
      </c>
      <c r="E239" s="1">
        <v>2311</v>
      </c>
      <c r="F239" s="1">
        <v>207</v>
      </c>
      <c r="G239" s="1">
        <v>363</v>
      </c>
      <c r="H239" s="1">
        <v>30349</v>
      </c>
      <c r="I239" s="4">
        <f>((Table1_1[[#This Row],[Likes]]+Table1_1[[#This Row],[Shares]]+Table1_1[[#This Row],[Comments]])/Table1_1[[#This Row],[Impressions]])*100</f>
        <v>9.4928992718046725</v>
      </c>
      <c r="J239" s="3" t="s">
        <v>319</v>
      </c>
    </row>
    <row r="240" spans="1:10" x14ac:dyDescent="0.3">
      <c r="A240" s="1" t="s">
        <v>167</v>
      </c>
      <c r="B240" s="1" t="s">
        <v>15</v>
      </c>
      <c r="C240" s="2">
        <v>45442</v>
      </c>
      <c r="D240" s="1" t="s">
        <v>16</v>
      </c>
      <c r="E240" s="1">
        <v>2311</v>
      </c>
      <c r="F240" s="1">
        <v>207</v>
      </c>
      <c r="G240" s="1">
        <v>363</v>
      </c>
      <c r="H240" s="1">
        <v>30349</v>
      </c>
      <c r="I240" s="4">
        <f>((Table1_1[[#This Row],[Likes]]+Table1_1[[#This Row],[Shares]]+Table1_1[[#This Row],[Comments]])/Table1_1[[#This Row],[Impressions]])*100</f>
        <v>9.4928992718046725</v>
      </c>
      <c r="J240" s="3" t="s">
        <v>24</v>
      </c>
    </row>
    <row r="241" spans="1:10" x14ac:dyDescent="0.3">
      <c r="A241" s="1" t="s">
        <v>168</v>
      </c>
      <c r="B241" s="1" t="s">
        <v>10</v>
      </c>
      <c r="C241" s="2">
        <v>45516</v>
      </c>
      <c r="D241" s="1" t="s">
        <v>16</v>
      </c>
      <c r="E241" s="1">
        <v>2962</v>
      </c>
      <c r="F241" s="1">
        <v>400</v>
      </c>
      <c r="G241" s="1">
        <v>280</v>
      </c>
      <c r="H241" s="1">
        <v>52508</v>
      </c>
      <c r="I241" s="4">
        <f>((Table1_1[[#This Row],[Likes]]+Table1_1[[#This Row],[Shares]]+Table1_1[[#This Row],[Comments]])/Table1_1[[#This Row],[Impressions]])*100</f>
        <v>6.9360859297630837</v>
      </c>
      <c r="J241" s="3" t="s">
        <v>24</v>
      </c>
    </row>
    <row r="242" spans="1:10" x14ac:dyDescent="0.3">
      <c r="A242" s="1" t="s">
        <v>169</v>
      </c>
      <c r="B242" s="1" t="s">
        <v>10</v>
      </c>
      <c r="C242" s="2">
        <v>45562</v>
      </c>
      <c r="D242" s="1" t="s">
        <v>11</v>
      </c>
      <c r="E242" s="1">
        <v>3118</v>
      </c>
      <c r="F242" s="1">
        <v>116</v>
      </c>
      <c r="G242" s="1">
        <v>195</v>
      </c>
      <c r="H242" s="1">
        <v>37100</v>
      </c>
      <c r="I242" s="4">
        <f>((Table1_1[[#This Row],[Likes]]+Table1_1[[#This Row],[Shares]]+Table1_1[[#This Row],[Comments]])/Table1_1[[#This Row],[Impressions]])*100</f>
        <v>9.2425876010781671</v>
      </c>
      <c r="J242" s="3" t="s">
        <v>13</v>
      </c>
    </row>
    <row r="243" spans="1:10" x14ac:dyDescent="0.3">
      <c r="A243" s="1" t="s">
        <v>170</v>
      </c>
      <c r="B243" s="1" t="s">
        <v>15</v>
      </c>
      <c r="C243" s="2">
        <v>45819</v>
      </c>
      <c r="D243" s="1" t="s">
        <v>16</v>
      </c>
      <c r="E243" s="1">
        <v>3805</v>
      </c>
      <c r="F243" s="1">
        <v>453</v>
      </c>
      <c r="G243" s="1">
        <v>63</v>
      </c>
      <c r="H243" s="1">
        <v>52395</v>
      </c>
      <c r="I243" s="4">
        <f>((Table1_1[[#This Row],[Likes]]+Table1_1[[#This Row],[Shares]]+Table1_1[[#This Row],[Comments]])/Table1_1[[#This Row],[Impressions]])*100</f>
        <v>8.2469701307376653</v>
      </c>
      <c r="J243" s="3" t="s">
        <v>13</v>
      </c>
    </row>
    <row r="244" spans="1:10" x14ac:dyDescent="0.3">
      <c r="A244" s="1" t="s">
        <v>170</v>
      </c>
      <c r="B244" s="1" t="s">
        <v>15</v>
      </c>
      <c r="C244" s="2">
        <v>45819</v>
      </c>
      <c r="D244" s="1" t="s">
        <v>16</v>
      </c>
      <c r="E244" s="1">
        <v>3805</v>
      </c>
      <c r="F244" s="1">
        <v>453</v>
      </c>
      <c r="G244" s="1">
        <v>63</v>
      </c>
      <c r="H244" s="1">
        <v>52395</v>
      </c>
      <c r="I244" s="4">
        <f>((Table1_1[[#This Row],[Likes]]+Table1_1[[#This Row],[Shares]]+Table1_1[[#This Row],[Comments]])/Table1_1[[#This Row],[Impressions]])*100</f>
        <v>8.2469701307376653</v>
      </c>
      <c r="J244" s="3" t="s">
        <v>319</v>
      </c>
    </row>
    <row r="245" spans="1:10" x14ac:dyDescent="0.3">
      <c r="A245" s="1" t="s">
        <v>171</v>
      </c>
      <c r="B245" s="1" t="s">
        <v>10</v>
      </c>
      <c r="C245" s="2">
        <v>45615</v>
      </c>
      <c r="D245" s="1" t="s">
        <v>11</v>
      </c>
      <c r="E245" s="1">
        <v>2525</v>
      </c>
      <c r="F245" s="1">
        <v>272</v>
      </c>
      <c r="G245" s="1">
        <v>294</v>
      </c>
      <c r="H245" s="1">
        <v>51875</v>
      </c>
      <c r="I245" s="4">
        <f>((Table1_1[[#This Row],[Likes]]+Table1_1[[#This Row],[Shares]]+Table1_1[[#This Row],[Comments]])/Table1_1[[#This Row],[Impressions]])*100</f>
        <v>5.9585542168674701</v>
      </c>
      <c r="J245" s="3" t="s">
        <v>13</v>
      </c>
    </row>
    <row r="246" spans="1:10" x14ac:dyDescent="0.3">
      <c r="A246" s="1" t="s">
        <v>172</v>
      </c>
      <c r="B246" s="1" t="s">
        <v>10</v>
      </c>
      <c r="C246" s="2">
        <v>45407</v>
      </c>
      <c r="D246" s="1" t="s">
        <v>11</v>
      </c>
      <c r="E246" s="1">
        <v>3563</v>
      </c>
      <c r="F246" s="1">
        <v>483</v>
      </c>
      <c r="G246" s="1">
        <v>227</v>
      </c>
      <c r="H246" s="1">
        <v>41085</v>
      </c>
      <c r="I246" s="4">
        <f>((Table1_1[[#This Row],[Likes]]+Table1_1[[#This Row],[Shares]]+Table1_1[[#This Row],[Comments]])/Table1_1[[#This Row],[Impressions]])*100</f>
        <v>10.400389436534015</v>
      </c>
      <c r="J246" s="3" t="s">
        <v>27</v>
      </c>
    </row>
    <row r="247" spans="1:10" x14ac:dyDescent="0.3">
      <c r="A247" s="1" t="s">
        <v>172</v>
      </c>
      <c r="B247" s="1" t="s">
        <v>10</v>
      </c>
      <c r="C247" s="2">
        <v>45407</v>
      </c>
      <c r="D247" s="1" t="s">
        <v>11</v>
      </c>
      <c r="E247" s="1">
        <v>3563</v>
      </c>
      <c r="F247" s="1">
        <v>483</v>
      </c>
      <c r="G247" s="1">
        <v>227</v>
      </c>
      <c r="H247" s="1">
        <v>41085</v>
      </c>
      <c r="I247" s="4">
        <f>((Table1_1[[#This Row],[Likes]]+Table1_1[[#This Row],[Shares]]+Table1_1[[#This Row],[Comments]])/Table1_1[[#This Row],[Impressions]])*100</f>
        <v>10.400389436534015</v>
      </c>
      <c r="J247" s="3" t="s">
        <v>24</v>
      </c>
    </row>
    <row r="248" spans="1:10" x14ac:dyDescent="0.3">
      <c r="A248" s="1" t="s">
        <v>173</v>
      </c>
      <c r="B248" s="1" t="s">
        <v>19</v>
      </c>
      <c r="C248" s="2">
        <v>45538</v>
      </c>
      <c r="D248" s="1" t="s">
        <v>36</v>
      </c>
      <c r="E248" s="1">
        <v>1437</v>
      </c>
      <c r="F248" s="1">
        <v>494</v>
      </c>
      <c r="G248" s="1">
        <v>129</v>
      </c>
      <c r="H248" s="1">
        <v>53048</v>
      </c>
      <c r="I248" s="4">
        <f>((Table1_1[[#This Row],[Likes]]+Table1_1[[#This Row],[Shares]]+Table1_1[[#This Row],[Comments]])/Table1_1[[#This Row],[Impressions]])*100</f>
        <v>3.8832755240536874</v>
      </c>
      <c r="J248" s="3" t="s">
        <v>13</v>
      </c>
    </row>
    <row r="249" spans="1:10" x14ac:dyDescent="0.3">
      <c r="A249" s="1" t="s">
        <v>173</v>
      </c>
      <c r="B249" s="1" t="s">
        <v>19</v>
      </c>
      <c r="C249" s="2">
        <v>45538</v>
      </c>
      <c r="D249" s="1" t="s">
        <v>36</v>
      </c>
      <c r="E249" s="1">
        <v>1437</v>
      </c>
      <c r="F249" s="1">
        <v>494</v>
      </c>
      <c r="G249" s="1">
        <v>129</v>
      </c>
      <c r="H249" s="1">
        <v>53048</v>
      </c>
      <c r="I249" s="4">
        <f>((Table1_1[[#This Row],[Likes]]+Table1_1[[#This Row],[Shares]]+Table1_1[[#This Row],[Comments]])/Table1_1[[#This Row],[Impressions]])*100</f>
        <v>3.8832755240536874</v>
      </c>
      <c r="J249" s="3" t="s">
        <v>27</v>
      </c>
    </row>
    <row r="250" spans="1:10" x14ac:dyDescent="0.3">
      <c r="A250" s="1" t="s">
        <v>174</v>
      </c>
      <c r="B250" s="1" t="s">
        <v>19</v>
      </c>
      <c r="C250" s="2">
        <v>45718</v>
      </c>
      <c r="D250" s="1" t="s">
        <v>11</v>
      </c>
      <c r="E250" s="1">
        <v>4425</v>
      </c>
      <c r="F250" s="1">
        <v>185</v>
      </c>
      <c r="G250" s="1">
        <v>162</v>
      </c>
      <c r="H250" s="1">
        <v>24610</v>
      </c>
      <c r="I250" s="4">
        <f>((Table1_1[[#This Row],[Likes]]+Table1_1[[#This Row],[Shares]]+Table1_1[[#This Row],[Comments]])/Table1_1[[#This Row],[Impressions]])*100</f>
        <v>19.390491670052825</v>
      </c>
      <c r="J250" s="3" t="s">
        <v>13</v>
      </c>
    </row>
    <row r="251" spans="1:10" x14ac:dyDescent="0.3">
      <c r="A251" s="1" t="s">
        <v>174</v>
      </c>
      <c r="B251" s="1" t="s">
        <v>19</v>
      </c>
      <c r="C251" s="2">
        <v>45718</v>
      </c>
      <c r="D251" s="1" t="s">
        <v>11</v>
      </c>
      <c r="E251" s="1">
        <v>4425</v>
      </c>
      <c r="F251" s="1">
        <v>185</v>
      </c>
      <c r="G251" s="1">
        <v>162</v>
      </c>
      <c r="H251" s="1">
        <v>24610</v>
      </c>
      <c r="I251" s="4">
        <f>((Table1_1[[#This Row],[Likes]]+Table1_1[[#This Row],[Shares]]+Table1_1[[#This Row],[Comments]])/Table1_1[[#This Row],[Impressions]])*100</f>
        <v>19.390491670052825</v>
      </c>
      <c r="J251" s="3" t="s">
        <v>320</v>
      </c>
    </row>
    <row r="252" spans="1:10" x14ac:dyDescent="0.3">
      <c r="A252" s="1" t="s">
        <v>175</v>
      </c>
      <c r="B252" s="1" t="s">
        <v>15</v>
      </c>
      <c r="C252" s="2">
        <v>45737</v>
      </c>
      <c r="D252" s="1" t="s">
        <v>16</v>
      </c>
      <c r="E252" s="1">
        <v>4609</v>
      </c>
      <c r="F252" s="1">
        <v>427</v>
      </c>
      <c r="G252" s="1">
        <v>395</v>
      </c>
      <c r="H252" s="1">
        <v>33698</v>
      </c>
      <c r="I252" s="4">
        <f>((Table1_1[[#This Row],[Likes]]+Table1_1[[#This Row],[Shares]]+Table1_1[[#This Row],[Comments]])/Table1_1[[#This Row],[Impressions]])*100</f>
        <v>16.116683482699269</v>
      </c>
      <c r="J252" s="3" t="s">
        <v>13</v>
      </c>
    </row>
    <row r="253" spans="1:10" x14ac:dyDescent="0.3">
      <c r="A253" s="1" t="s">
        <v>175</v>
      </c>
      <c r="B253" s="1" t="s">
        <v>15</v>
      </c>
      <c r="C253" s="2">
        <v>45737</v>
      </c>
      <c r="D253" s="1" t="s">
        <v>16</v>
      </c>
      <c r="E253" s="1">
        <v>4609</v>
      </c>
      <c r="F253" s="1">
        <v>427</v>
      </c>
      <c r="G253" s="1">
        <v>395</v>
      </c>
      <c r="H253" s="1">
        <v>33698</v>
      </c>
      <c r="I253" s="4">
        <f>((Table1_1[[#This Row],[Likes]]+Table1_1[[#This Row],[Shares]]+Table1_1[[#This Row],[Comments]])/Table1_1[[#This Row],[Impressions]])*100</f>
        <v>16.116683482699269</v>
      </c>
      <c r="J253" s="3" t="s">
        <v>319</v>
      </c>
    </row>
    <row r="254" spans="1:10" x14ac:dyDescent="0.3">
      <c r="A254" s="1" t="s">
        <v>176</v>
      </c>
      <c r="B254" s="1" t="s">
        <v>10</v>
      </c>
      <c r="C254" s="2">
        <v>45394</v>
      </c>
      <c r="D254" s="1" t="s">
        <v>16</v>
      </c>
      <c r="E254" s="1">
        <v>1558</v>
      </c>
      <c r="F254" s="1">
        <v>352</v>
      </c>
      <c r="G254" s="1">
        <v>202</v>
      </c>
      <c r="H254" s="1">
        <v>25405</v>
      </c>
      <c r="I254" s="4">
        <f>((Table1_1[[#This Row],[Likes]]+Table1_1[[#This Row],[Shares]]+Table1_1[[#This Row],[Comments]])/Table1_1[[#This Row],[Impressions]])*100</f>
        <v>8.3133241487896079</v>
      </c>
      <c r="J254" s="3" t="s">
        <v>24</v>
      </c>
    </row>
    <row r="255" spans="1:10" x14ac:dyDescent="0.3">
      <c r="A255" s="1" t="s">
        <v>177</v>
      </c>
      <c r="B255" s="1" t="s">
        <v>19</v>
      </c>
      <c r="C255" s="2">
        <v>45330</v>
      </c>
      <c r="D255" s="1" t="s">
        <v>36</v>
      </c>
      <c r="E255" s="1">
        <v>1889</v>
      </c>
      <c r="F255" s="1">
        <v>298</v>
      </c>
      <c r="G255" s="1">
        <v>122</v>
      </c>
      <c r="H255" s="1">
        <v>46225</v>
      </c>
      <c r="I255" s="4">
        <f>((Table1_1[[#This Row],[Likes]]+Table1_1[[#This Row],[Shares]]+Table1_1[[#This Row],[Comments]])/Table1_1[[#This Row],[Impressions]])*100</f>
        <v>4.9951325040562464</v>
      </c>
      <c r="J255" s="3" t="s">
        <v>13</v>
      </c>
    </row>
    <row r="256" spans="1:10" x14ac:dyDescent="0.3">
      <c r="A256" s="1" t="s">
        <v>177</v>
      </c>
      <c r="B256" s="1" t="s">
        <v>19</v>
      </c>
      <c r="C256" s="2">
        <v>45330</v>
      </c>
      <c r="D256" s="1" t="s">
        <v>36</v>
      </c>
      <c r="E256" s="1">
        <v>1889</v>
      </c>
      <c r="F256" s="1">
        <v>298</v>
      </c>
      <c r="G256" s="1">
        <v>122</v>
      </c>
      <c r="H256" s="1">
        <v>46225</v>
      </c>
      <c r="I256" s="4">
        <f>((Table1_1[[#This Row],[Likes]]+Table1_1[[#This Row],[Shares]]+Table1_1[[#This Row],[Comments]])/Table1_1[[#This Row],[Impressions]])*100</f>
        <v>4.9951325040562464</v>
      </c>
      <c r="J256" s="3" t="s">
        <v>27</v>
      </c>
    </row>
    <row r="257" spans="1:10" x14ac:dyDescent="0.3">
      <c r="A257" s="1" t="s">
        <v>178</v>
      </c>
      <c r="B257" s="1" t="s">
        <v>10</v>
      </c>
      <c r="C257" s="2">
        <v>45803</v>
      </c>
      <c r="D257" s="1" t="s">
        <v>11</v>
      </c>
      <c r="E257" s="1">
        <v>3086</v>
      </c>
      <c r="F257" s="1">
        <v>148</v>
      </c>
      <c r="G257" s="1">
        <v>310</v>
      </c>
      <c r="H257" s="1">
        <v>22824</v>
      </c>
      <c r="I257" s="4">
        <f>((Table1_1[[#This Row],[Likes]]+Table1_1[[#This Row],[Shares]]+Table1_1[[#This Row],[Comments]])/Table1_1[[#This Row],[Impressions]])*100</f>
        <v>15.527514896600071</v>
      </c>
      <c r="J257" s="3" t="s">
        <v>13</v>
      </c>
    </row>
    <row r="258" spans="1:10" x14ac:dyDescent="0.3">
      <c r="A258" s="1" t="s">
        <v>179</v>
      </c>
      <c r="B258" s="1" t="s">
        <v>10</v>
      </c>
      <c r="C258" s="2">
        <v>45610</v>
      </c>
      <c r="D258" s="1" t="s">
        <v>11</v>
      </c>
      <c r="E258" s="1">
        <v>2422</v>
      </c>
      <c r="F258" s="1">
        <v>318</v>
      </c>
      <c r="G258" s="1">
        <v>118</v>
      </c>
      <c r="H258" s="1">
        <v>25386</v>
      </c>
      <c r="I258" s="4">
        <f>((Table1_1[[#This Row],[Likes]]+Table1_1[[#This Row],[Shares]]+Table1_1[[#This Row],[Comments]])/Table1_1[[#This Row],[Impressions]])*100</f>
        <v>11.258173796580792</v>
      </c>
      <c r="J258" s="3" t="s">
        <v>27</v>
      </c>
    </row>
    <row r="259" spans="1:10" x14ac:dyDescent="0.3">
      <c r="A259" s="1" t="s">
        <v>179</v>
      </c>
      <c r="B259" s="1" t="s">
        <v>10</v>
      </c>
      <c r="C259" s="2">
        <v>45610</v>
      </c>
      <c r="D259" s="1" t="s">
        <v>11</v>
      </c>
      <c r="E259" s="1">
        <v>2422</v>
      </c>
      <c r="F259" s="1">
        <v>318</v>
      </c>
      <c r="G259" s="1">
        <v>118</v>
      </c>
      <c r="H259" s="1">
        <v>25386</v>
      </c>
      <c r="I259" s="4">
        <f>((Table1_1[[#This Row],[Likes]]+Table1_1[[#This Row],[Shares]]+Table1_1[[#This Row],[Comments]])/Table1_1[[#This Row],[Impressions]])*100</f>
        <v>11.258173796580792</v>
      </c>
      <c r="J259" s="3" t="s">
        <v>24</v>
      </c>
    </row>
    <row r="260" spans="1:10" x14ac:dyDescent="0.3">
      <c r="A260" s="1" t="s">
        <v>180</v>
      </c>
      <c r="B260" s="1" t="s">
        <v>19</v>
      </c>
      <c r="C260" s="2">
        <v>45513</v>
      </c>
      <c r="D260" s="1" t="s">
        <v>36</v>
      </c>
      <c r="E260" s="1">
        <v>3414</v>
      </c>
      <c r="F260" s="1">
        <v>154</v>
      </c>
      <c r="G260" s="1">
        <v>204</v>
      </c>
      <c r="H260" s="1">
        <v>34146</v>
      </c>
      <c r="I260" s="4">
        <f>((Table1_1[[#This Row],[Likes]]+Table1_1[[#This Row],[Shares]]+Table1_1[[#This Row],[Comments]])/Table1_1[[#This Row],[Impressions]])*100</f>
        <v>11.046681895390382</v>
      </c>
      <c r="J260" s="3" t="s">
        <v>13</v>
      </c>
    </row>
    <row r="261" spans="1:10" x14ac:dyDescent="0.3">
      <c r="A261" s="1" t="s">
        <v>180</v>
      </c>
      <c r="B261" s="1" t="s">
        <v>19</v>
      </c>
      <c r="C261" s="2">
        <v>45513</v>
      </c>
      <c r="D261" s="1" t="s">
        <v>36</v>
      </c>
      <c r="E261" s="1">
        <v>3414</v>
      </c>
      <c r="F261" s="1">
        <v>154</v>
      </c>
      <c r="G261" s="1">
        <v>204</v>
      </c>
      <c r="H261" s="1">
        <v>34146</v>
      </c>
      <c r="I261" s="4">
        <f>((Table1_1[[#This Row],[Likes]]+Table1_1[[#This Row],[Shares]]+Table1_1[[#This Row],[Comments]])/Table1_1[[#This Row],[Impressions]])*100</f>
        <v>11.046681895390382</v>
      </c>
      <c r="J261" s="3" t="s">
        <v>27</v>
      </c>
    </row>
    <row r="262" spans="1:10" x14ac:dyDescent="0.3">
      <c r="A262" s="1" t="s">
        <v>181</v>
      </c>
      <c r="B262" s="1" t="s">
        <v>10</v>
      </c>
      <c r="C262" s="2">
        <v>45835</v>
      </c>
      <c r="D262" s="1" t="s">
        <v>16</v>
      </c>
      <c r="E262" s="1">
        <v>1342</v>
      </c>
      <c r="F262" s="1">
        <v>332</v>
      </c>
      <c r="G262" s="1">
        <v>163</v>
      </c>
      <c r="H262" s="1">
        <v>51712</v>
      </c>
      <c r="I262" s="4">
        <f>((Table1_1[[#This Row],[Likes]]+Table1_1[[#This Row],[Shares]]+Table1_1[[#This Row],[Comments]])/Table1_1[[#This Row],[Impressions]])*100</f>
        <v>3.5523669554455446</v>
      </c>
      <c r="J262" s="3" t="s">
        <v>24</v>
      </c>
    </row>
    <row r="263" spans="1:10" x14ac:dyDescent="0.3">
      <c r="A263" s="1" t="s">
        <v>182</v>
      </c>
      <c r="B263" s="1" t="s">
        <v>10</v>
      </c>
      <c r="C263" s="2">
        <v>45420</v>
      </c>
      <c r="D263" s="1" t="s">
        <v>16</v>
      </c>
      <c r="E263" s="1">
        <v>2414</v>
      </c>
      <c r="F263" s="1">
        <v>220</v>
      </c>
      <c r="G263" s="1">
        <v>280</v>
      </c>
      <c r="H263" s="1">
        <v>27355</v>
      </c>
      <c r="I263" s="4">
        <f>((Table1_1[[#This Row],[Likes]]+Table1_1[[#This Row],[Shares]]+Table1_1[[#This Row],[Comments]])/Table1_1[[#This Row],[Impressions]])*100</f>
        <v>10.652531529884847</v>
      </c>
      <c r="J263" s="3" t="s">
        <v>24</v>
      </c>
    </row>
    <row r="264" spans="1:10" x14ac:dyDescent="0.3">
      <c r="A264" s="1" t="s">
        <v>183</v>
      </c>
      <c r="B264" s="1" t="s">
        <v>10</v>
      </c>
      <c r="C264" s="2">
        <v>45387</v>
      </c>
      <c r="D264" s="1" t="s">
        <v>11</v>
      </c>
      <c r="E264" s="1">
        <v>4383</v>
      </c>
      <c r="F264" s="1">
        <v>352</v>
      </c>
      <c r="G264" s="1">
        <v>176</v>
      </c>
      <c r="H264" s="1">
        <v>53239</v>
      </c>
      <c r="I264" s="4">
        <f>((Table1_1[[#This Row],[Likes]]+Table1_1[[#This Row],[Shares]]+Table1_1[[#This Row],[Comments]])/Table1_1[[#This Row],[Impressions]])*100</f>
        <v>9.2244407295403743</v>
      </c>
      <c r="J264" s="3" t="s">
        <v>13</v>
      </c>
    </row>
    <row r="265" spans="1:10" x14ac:dyDescent="0.3">
      <c r="A265" s="1" t="s">
        <v>184</v>
      </c>
      <c r="B265" s="1" t="s">
        <v>19</v>
      </c>
      <c r="C265" s="2">
        <v>45684</v>
      </c>
      <c r="D265" s="1" t="s">
        <v>11</v>
      </c>
      <c r="E265" s="1">
        <v>4294</v>
      </c>
      <c r="F265" s="1">
        <v>423</v>
      </c>
      <c r="G265" s="1">
        <v>93</v>
      </c>
      <c r="H265" s="1">
        <v>29828</v>
      </c>
      <c r="I265" s="4">
        <f>((Table1_1[[#This Row],[Likes]]+Table1_1[[#This Row],[Shares]]+Table1_1[[#This Row],[Comments]])/Table1_1[[#This Row],[Impressions]])*100</f>
        <v>16.125787850341961</v>
      </c>
      <c r="J265" s="3" t="s">
        <v>13</v>
      </c>
    </row>
    <row r="266" spans="1:10" x14ac:dyDescent="0.3">
      <c r="A266" s="1" t="s">
        <v>184</v>
      </c>
      <c r="B266" s="1" t="s">
        <v>19</v>
      </c>
      <c r="C266" s="2">
        <v>45684</v>
      </c>
      <c r="D266" s="1" t="s">
        <v>11</v>
      </c>
      <c r="E266" s="1">
        <v>4294</v>
      </c>
      <c r="F266" s="1">
        <v>423</v>
      </c>
      <c r="G266" s="1">
        <v>93</v>
      </c>
      <c r="H266" s="1">
        <v>29828</v>
      </c>
      <c r="I266" s="4">
        <f>((Table1_1[[#This Row],[Likes]]+Table1_1[[#This Row],[Shares]]+Table1_1[[#This Row],[Comments]])/Table1_1[[#This Row],[Impressions]])*100</f>
        <v>16.125787850341961</v>
      </c>
      <c r="J266" s="3" t="s">
        <v>320</v>
      </c>
    </row>
    <row r="267" spans="1:10" x14ac:dyDescent="0.3">
      <c r="A267" s="1" t="s">
        <v>185</v>
      </c>
      <c r="B267" s="1" t="s">
        <v>10</v>
      </c>
      <c r="C267" s="2">
        <v>45385</v>
      </c>
      <c r="D267" s="1" t="s">
        <v>11</v>
      </c>
      <c r="E267" s="1">
        <v>2762</v>
      </c>
      <c r="F267" s="1">
        <v>339</v>
      </c>
      <c r="G267" s="1">
        <v>323</v>
      </c>
      <c r="H267" s="1">
        <v>33757</v>
      </c>
      <c r="I267" s="4">
        <f>((Table1_1[[#This Row],[Likes]]+Table1_1[[#This Row],[Shares]]+Table1_1[[#This Row],[Comments]])/Table1_1[[#This Row],[Impressions]])*100</f>
        <v>10.143081434961637</v>
      </c>
      <c r="J267" s="3" t="s">
        <v>27</v>
      </c>
    </row>
    <row r="268" spans="1:10" x14ac:dyDescent="0.3">
      <c r="A268" s="1" t="s">
        <v>185</v>
      </c>
      <c r="B268" s="1" t="s">
        <v>10</v>
      </c>
      <c r="C268" s="2">
        <v>45385</v>
      </c>
      <c r="D268" s="1" t="s">
        <v>11</v>
      </c>
      <c r="E268" s="1">
        <v>2762</v>
      </c>
      <c r="F268" s="1">
        <v>339</v>
      </c>
      <c r="G268" s="1">
        <v>323</v>
      </c>
      <c r="H268" s="1">
        <v>33757</v>
      </c>
      <c r="I268" s="4">
        <f>((Table1_1[[#This Row],[Likes]]+Table1_1[[#This Row],[Shares]]+Table1_1[[#This Row],[Comments]])/Table1_1[[#This Row],[Impressions]])*100</f>
        <v>10.143081434961637</v>
      </c>
      <c r="J268" s="3" t="s">
        <v>24</v>
      </c>
    </row>
    <row r="269" spans="1:10" x14ac:dyDescent="0.3">
      <c r="A269" s="1" t="s">
        <v>186</v>
      </c>
      <c r="B269" s="1" t="s">
        <v>19</v>
      </c>
      <c r="C269" s="2">
        <v>45660</v>
      </c>
      <c r="D269" s="1" t="s">
        <v>11</v>
      </c>
      <c r="E269" s="1">
        <v>3782</v>
      </c>
      <c r="F269" s="1">
        <v>484</v>
      </c>
      <c r="G269" s="1">
        <v>144</v>
      </c>
      <c r="H269" s="1">
        <v>52172</v>
      </c>
      <c r="I269" s="4">
        <f>((Table1_1[[#This Row],[Likes]]+Table1_1[[#This Row],[Shares]]+Table1_1[[#This Row],[Comments]])/Table1_1[[#This Row],[Impressions]])*100</f>
        <v>8.4528099363643339</v>
      </c>
      <c r="J269" s="3" t="s">
        <v>13</v>
      </c>
    </row>
    <row r="270" spans="1:10" x14ac:dyDescent="0.3">
      <c r="A270" s="1" t="s">
        <v>186</v>
      </c>
      <c r="B270" s="1" t="s">
        <v>19</v>
      </c>
      <c r="C270" s="2">
        <v>45660</v>
      </c>
      <c r="D270" s="1" t="s">
        <v>11</v>
      </c>
      <c r="E270" s="1">
        <v>3782</v>
      </c>
      <c r="F270" s="1">
        <v>484</v>
      </c>
      <c r="G270" s="1">
        <v>144</v>
      </c>
      <c r="H270" s="1">
        <v>52172</v>
      </c>
      <c r="I270" s="4">
        <f>((Table1_1[[#This Row],[Likes]]+Table1_1[[#This Row],[Shares]]+Table1_1[[#This Row],[Comments]])/Table1_1[[#This Row],[Impressions]])*100</f>
        <v>8.4528099363643339</v>
      </c>
      <c r="J270" s="3" t="s">
        <v>320</v>
      </c>
    </row>
    <row r="271" spans="1:10" x14ac:dyDescent="0.3">
      <c r="A271" s="1" t="s">
        <v>187</v>
      </c>
      <c r="B271" s="1" t="s">
        <v>15</v>
      </c>
      <c r="C271" s="2">
        <v>45619</v>
      </c>
      <c r="D271" s="1" t="s">
        <v>11</v>
      </c>
      <c r="E271" s="1">
        <v>4318</v>
      </c>
      <c r="F271" s="1">
        <v>371</v>
      </c>
      <c r="G271" s="1">
        <v>329</v>
      </c>
      <c r="H271" s="1">
        <v>32347</v>
      </c>
      <c r="I271" s="4">
        <f>((Table1_1[[#This Row],[Likes]]+Table1_1[[#This Row],[Shares]]+Table1_1[[#This Row],[Comments]])/Table1_1[[#This Row],[Impressions]])*100</f>
        <v>15.513030574705535</v>
      </c>
      <c r="J271" s="3" t="s">
        <v>27</v>
      </c>
    </row>
    <row r="272" spans="1:10" x14ac:dyDescent="0.3">
      <c r="A272" s="1" t="s">
        <v>188</v>
      </c>
      <c r="B272" s="1" t="s">
        <v>10</v>
      </c>
      <c r="C272" s="2">
        <v>45536</v>
      </c>
      <c r="D272" s="1" t="s">
        <v>16</v>
      </c>
      <c r="E272" s="1">
        <v>2335</v>
      </c>
      <c r="F272" s="1">
        <v>150</v>
      </c>
      <c r="G272" s="1">
        <v>75</v>
      </c>
      <c r="H272" s="1">
        <v>26114</v>
      </c>
      <c r="I272" s="4">
        <f>((Table1_1[[#This Row],[Likes]]+Table1_1[[#This Row],[Shares]]+Table1_1[[#This Row],[Comments]])/Table1_1[[#This Row],[Impressions]])*100</f>
        <v>9.8031707130274945</v>
      </c>
      <c r="J272" s="3" t="s">
        <v>24</v>
      </c>
    </row>
    <row r="273" spans="1:10" x14ac:dyDescent="0.3">
      <c r="A273" s="1" t="s">
        <v>189</v>
      </c>
      <c r="B273" s="1" t="s">
        <v>19</v>
      </c>
      <c r="C273" s="2">
        <v>45400</v>
      </c>
      <c r="D273" s="1" t="s">
        <v>11</v>
      </c>
      <c r="E273" s="1">
        <v>4023</v>
      </c>
      <c r="F273" s="1">
        <v>293</v>
      </c>
      <c r="G273" s="1">
        <v>91</v>
      </c>
      <c r="H273" s="1">
        <v>26795</v>
      </c>
      <c r="I273" s="4">
        <f>((Table1_1[[#This Row],[Likes]]+Table1_1[[#This Row],[Shares]]+Table1_1[[#This Row],[Comments]])/Table1_1[[#This Row],[Impressions]])*100</f>
        <v>16.447098339242398</v>
      </c>
      <c r="J273" s="3" t="s">
        <v>13</v>
      </c>
    </row>
    <row r="274" spans="1:10" x14ac:dyDescent="0.3">
      <c r="A274" s="1" t="s">
        <v>189</v>
      </c>
      <c r="B274" s="1" t="s">
        <v>19</v>
      </c>
      <c r="C274" s="2">
        <v>45400</v>
      </c>
      <c r="D274" s="1" t="s">
        <v>11</v>
      </c>
      <c r="E274" s="1">
        <v>4023</v>
      </c>
      <c r="F274" s="1">
        <v>293</v>
      </c>
      <c r="G274" s="1">
        <v>91</v>
      </c>
      <c r="H274" s="1">
        <v>26795</v>
      </c>
      <c r="I274" s="4">
        <f>((Table1_1[[#This Row],[Likes]]+Table1_1[[#This Row],[Shares]]+Table1_1[[#This Row],[Comments]])/Table1_1[[#This Row],[Impressions]])*100</f>
        <v>16.447098339242398</v>
      </c>
      <c r="J274" s="3" t="s">
        <v>320</v>
      </c>
    </row>
    <row r="275" spans="1:10" x14ac:dyDescent="0.3">
      <c r="A275" s="1" t="s">
        <v>190</v>
      </c>
      <c r="B275" s="1" t="s">
        <v>10</v>
      </c>
      <c r="C275" s="2">
        <v>45447</v>
      </c>
      <c r="D275" s="1" t="s">
        <v>11</v>
      </c>
      <c r="E275" s="1">
        <v>3948</v>
      </c>
      <c r="F275" s="1">
        <v>151</v>
      </c>
      <c r="G275" s="1">
        <v>249</v>
      </c>
      <c r="H275" s="1">
        <v>43147</v>
      </c>
      <c r="I275" s="4">
        <f>((Table1_1[[#This Row],[Likes]]+Table1_1[[#This Row],[Shares]]+Table1_1[[#This Row],[Comments]])/Table1_1[[#This Row],[Impressions]])*100</f>
        <v>10.077178019329269</v>
      </c>
      <c r="J275" s="3" t="s">
        <v>13</v>
      </c>
    </row>
    <row r="276" spans="1:10" x14ac:dyDescent="0.3">
      <c r="A276" s="1" t="s">
        <v>191</v>
      </c>
      <c r="B276" s="1" t="s">
        <v>19</v>
      </c>
      <c r="C276" s="2">
        <v>45749</v>
      </c>
      <c r="D276" s="1" t="s">
        <v>11</v>
      </c>
      <c r="E276" s="1">
        <v>4598</v>
      </c>
      <c r="F276" s="1">
        <v>455</v>
      </c>
      <c r="G276" s="1">
        <v>378</v>
      </c>
      <c r="H276" s="1">
        <v>52952</v>
      </c>
      <c r="I276" s="4">
        <f>((Table1_1[[#This Row],[Likes]]+Table1_1[[#This Row],[Shares]]+Table1_1[[#This Row],[Comments]])/Table1_1[[#This Row],[Impressions]])*100</f>
        <v>10.256458679558845</v>
      </c>
      <c r="J276" s="3" t="s">
        <v>13</v>
      </c>
    </row>
    <row r="277" spans="1:10" x14ac:dyDescent="0.3">
      <c r="A277" s="1" t="s">
        <v>191</v>
      </c>
      <c r="B277" s="1" t="s">
        <v>19</v>
      </c>
      <c r="C277" s="2">
        <v>45749</v>
      </c>
      <c r="D277" s="1" t="s">
        <v>11</v>
      </c>
      <c r="E277" s="1">
        <v>4598</v>
      </c>
      <c r="F277" s="1">
        <v>455</v>
      </c>
      <c r="G277" s="1">
        <v>378</v>
      </c>
      <c r="H277" s="1">
        <v>52952</v>
      </c>
      <c r="I277" s="4">
        <f>((Table1_1[[#This Row],[Likes]]+Table1_1[[#This Row],[Shares]]+Table1_1[[#This Row],[Comments]])/Table1_1[[#This Row],[Impressions]])*100</f>
        <v>10.256458679558845</v>
      </c>
      <c r="J277" s="3" t="s">
        <v>320</v>
      </c>
    </row>
    <row r="278" spans="1:10" x14ac:dyDescent="0.3">
      <c r="A278" s="1" t="s">
        <v>192</v>
      </c>
      <c r="B278" s="1" t="s">
        <v>15</v>
      </c>
      <c r="C278" s="2">
        <v>45748</v>
      </c>
      <c r="D278" s="1" t="s">
        <v>16</v>
      </c>
      <c r="E278" s="1">
        <v>2665</v>
      </c>
      <c r="F278" s="1">
        <v>143</v>
      </c>
      <c r="G278" s="1">
        <v>315</v>
      </c>
      <c r="H278" s="1">
        <v>54808</v>
      </c>
      <c r="I278" s="4">
        <f>((Table1_1[[#This Row],[Likes]]+Table1_1[[#This Row],[Shares]]+Table1_1[[#This Row],[Comments]])/Table1_1[[#This Row],[Impressions]])*100</f>
        <v>5.6980732739746021</v>
      </c>
      <c r="J278" s="3" t="s">
        <v>13</v>
      </c>
    </row>
    <row r="279" spans="1:10" x14ac:dyDescent="0.3">
      <c r="A279" s="1" t="s">
        <v>192</v>
      </c>
      <c r="B279" s="1" t="s">
        <v>15</v>
      </c>
      <c r="C279" s="2">
        <v>45748</v>
      </c>
      <c r="D279" s="1" t="s">
        <v>16</v>
      </c>
      <c r="E279" s="1">
        <v>2665</v>
      </c>
      <c r="F279" s="1">
        <v>143</v>
      </c>
      <c r="G279" s="1">
        <v>315</v>
      </c>
      <c r="H279" s="1">
        <v>54808</v>
      </c>
      <c r="I279" s="4">
        <f>((Table1_1[[#This Row],[Likes]]+Table1_1[[#This Row],[Shares]]+Table1_1[[#This Row],[Comments]])/Table1_1[[#This Row],[Impressions]])*100</f>
        <v>5.6980732739746021</v>
      </c>
      <c r="J279" s="3" t="s">
        <v>319</v>
      </c>
    </row>
    <row r="280" spans="1:10" x14ac:dyDescent="0.3">
      <c r="A280" s="1" t="s">
        <v>193</v>
      </c>
      <c r="B280" s="1" t="s">
        <v>10</v>
      </c>
      <c r="C280" s="2">
        <v>45475</v>
      </c>
      <c r="D280" s="1" t="s">
        <v>11</v>
      </c>
      <c r="E280" s="1">
        <v>3469</v>
      </c>
      <c r="F280" s="1">
        <v>371</v>
      </c>
      <c r="G280" s="1">
        <v>76</v>
      </c>
      <c r="H280" s="1">
        <v>46493</v>
      </c>
      <c r="I280" s="4">
        <f>((Table1_1[[#This Row],[Likes]]+Table1_1[[#This Row],[Shares]]+Table1_1[[#This Row],[Comments]])/Table1_1[[#This Row],[Impressions]])*100</f>
        <v>8.4227733207149456</v>
      </c>
      <c r="J280" s="3" t="s">
        <v>27</v>
      </c>
    </row>
    <row r="281" spans="1:10" x14ac:dyDescent="0.3">
      <c r="A281" s="1" t="s">
        <v>193</v>
      </c>
      <c r="B281" s="1" t="s">
        <v>10</v>
      </c>
      <c r="C281" s="2">
        <v>45475</v>
      </c>
      <c r="D281" s="1" t="s">
        <v>11</v>
      </c>
      <c r="E281" s="1">
        <v>3469</v>
      </c>
      <c r="F281" s="1">
        <v>371</v>
      </c>
      <c r="G281" s="1">
        <v>76</v>
      </c>
      <c r="H281" s="1">
        <v>46493</v>
      </c>
      <c r="I281" s="4">
        <f>((Table1_1[[#This Row],[Likes]]+Table1_1[[#This Row],[Shares]]+Table1_1[[#This Row],[Comments]])/Table1_1[[#This Row],[Impressions]])*100</f>
        <v>8.4227733207149456</v>
      </c>
      <c r="J281" s="3" t="s">
        <v>24</v>
      </c>
    </row>
    <row r="282" spans="1:10" x14ac:dyDescent="0.3">
      <c r="A282" s="1" t="s">
        <v>194</v>
      </c>
      <c r="B282" s="1" t="s">
        <v>15</v>
      </c>
      <c r="C282" s="2">
        <v>45606</v>
      </c>
      <c r="D282" s="1" t="s">
        <v>11</v>
      </c>
      <c r="E282" s="1">
        <v>4823</v>
      </c>
      <c r="F282" s="1">
        <v>489</v>
      </c>
      <c r="G282" s="1">
        <v>302</v>
      </c>
      <c r="H282" s="1">
        <v>32470</v>
      </c>
      <c r="I282" s="4">
        <f>((Table1_1[[#This Row],[Likes]]+Table1_1[[#This Row],[Shares]]+Table1_1[[#This Row],[Comments]])/Table1_1[[#This Row],[Impressions]])*100</f>
        <v>17.289805974745921</v>
      </c>
      <c r="J282" s="3" t="s">
        <v>27</v>
      </c>
    </row>
    <row r="283" spans="1:10" x14ac:dyDescent="0.3">
      <c r="A283" s="1" t="s">
        <v>195</v>
      </c>
      <c r="B283" s="1" t="s">
        <v>10</v>
      </c>
      <c r="C283" s="2">
        <v>45640</v>
      </c>
      <c r="D283" s="1" t="s">
        <v>16</v>
      </c>
      <c r="E283" s="1">
        <v>3812</v>
      </c>
      <c r="F283" s="1">
        <v>321</v>
      </c>
      <c r="G283" s="1">
        <v>289</v>
      </c>
      <c r="H283" s="1">
        <v>59838</v>
      </c>
      <c r="I283" s="4">
        <f>((Table1_1[[#This Row],[Likes]]+Table1_1[[#This Row],[Shares]]+Table1_1[[#This Row],[Comments]])/Table1_1[[#This Row],[Impressions]])*100</f>
        <v>7.3899528727564414</v>
      </c>
      <c r="J283" s="3" t="s">
        <v>24</v>
      </c>
    </row>
    <row r="284" spans="1:10" x14ac:dyDescent="0.3">
      <c r="A284" s="1" t="s">
        <v>196</v>
      </c>
      <c r="B284" s="1" t="s">
        <v>15</v>
      </c>
      <c r="C284" s="2">
        <v>45615</v>
      </c>
      <c r="D284" s="1" t="s">
        <v>11</v>
      </c>
      <c r="E284" s="1">
        <v>2387</v>
      </c>
      <c r="F284" s="1">
        <v>353</v>
      </c>
      <c r="G284" s="1">
        <v>78</v>
      </c>
      <c r="H284" s="1">
        <v>39745</v>
      </c>
      <c r="I284" s="4">
        <f>((Table1_1[[#This Row],[Likes]]+Table1_1[[#This Row],[Shares]]+Table1_1[[#This Row],[Comments]])/Table1_1[[#This Row],[Impressions]])*100</f>
        <v>7.0902000251603976</v>
      </c>
      <c r="J284" s="3" t="s">
        <v>27</v>
      </c>
    </row>
    <row r="285" spans="1:10" x14ac:dyDescent="0.3">
      <c r="A285" s="1" t="s">
        <v>197</v>
      </c>
      <c r="B285" s="1" t="s">
        <v>15</v>
      </c>
      <c r="C285" s="2">
        <v>45777</v>
      </c>
      <c r="D285" s="1" t="s">
        <v>16</v>
      </c>
      <c r="E285" s="1">
        <v>3929</v>
      </c>
      <c r="F285" s="1">
        <v>275</v>
      </c>
      <c r="G285" s="1">
        <v>330</v>
      </c>
      <c r="H285" s="1">
        <v>58329</v>
      </c>
      <c r="I285" s="4">
        <f>((Table1_1[[#This Row],[Likes]]+Table1_1[[#This Row],[Shares]]+Table1_1[[#This Row],[Comments]])/Table1_1[[#This Row],[Impressions]])*100</f>
        <v>7.773148862486928</v>
      </c>
      <c r="J285" s="3" t="s">
        <v>319</v>
      </c>
    </row>
    <row r="286" spans="1:10" x14ac:dyDescent="0.3">
      <c r="A286" s="1" t="s">
        <v>197</v>
      </c>
      <c r="B286" s="1" t="s">
        <v>15</v>
      </c>
      <c r="C286" s="2">
        <v>45777</v>
      </c>
      <c r="D286" s="1" t="s">
        <v>16</v>
      </c>
      <c r="E286" s="1">
        <v>3929</v>
      </c>
      <c r="F286" s="1">
        <v>275</v>
      </c>
      <c r="G286" s="1">
        <v>330</v>
      </c>
      <c r="H286" s="1">
        <v>58329</v>
      </c>
      <c r="I286" s="4">
        <f>((Table1_1[[#This Row],[Likes]]+Table1_1[[#This Row],[Shares]]+Table1_1[[#This Row],[Comments]])/Table1_1[[#This Row],[Impressions]])*100</f>
        <v>7.773148862486928</v>
      </c>
      <c r="J286" s="3" t="s">
        <v>24</v>
      </c>
    </row>
    <row r="287" spans="1:10" x14ac:dyDescent="0.3">
      <c r="A287" s="1" t="s">
        <v>198</v>
      </c>
      <c r="B287" s="1" t="s">
        <v>15</v>
      </c>
      <c r="C287" s="2">
        <v>45370</v>
      </c>
      <c r="D287" s="1" t="s">
        <v>11</v>
      </c>
      <c r="E287" s="1">
        <v>2191</v>
      </c>
      <c r="F287" s="1">
        <v>288</v>
      </c>
      <c r="G287" s="1">
        <v>83</v>
      </c>
      <c r="H287" s="1">
        <v>59606</v>
      </c>
      <c r="I287" s="4">
        <f>((Table1_1[[#This Row],[Likes]]+Table1_1[[#This Row],[Shares]]+Table1_1[[#This Row],[Comments]])/Table1_1[[#This Row],[Impressions]])*100</f>
        <v>4.2982250109049422</v>
      </c>
      <c r="J287" s="3" t="s">
        <v>27</v>
      </c>
    </row>
    <row r="288" spans="1:10" x14ac:dyDescent="0.3">
      <c r="A288" s="1" t="s">
        <v>199</v>
      </c>
      <c r="B288" s="1" t="s">
        <v>10</v>
      </c>
      <c r="C288" s="2">
        <v>45370</v>
      </c>
      <c r="D288" s="1" t="s">
        <v>11</v>
      </c>
      <c r="E288" s="1">
        <v>2878</v>
      </c>
      <c r="F288" s="1">
        <v>278</v>
      </c>
      <c r="G288" s="1">
        <v>255</v>
      </c>
      <c r="H288" s="1">
        <v>47235</v>
      </c>
      <c r="I288" s="4">
        <f>((Table1_1[[#This Row],[Likes]]+Table1_1[[#This Row],[Shares]]+Table1_1[[#This Row],[Comments]])/Table1_1[[#This Row],[Impressions]])*100</f>
        <v>7.2213401079707848</v>
      </c>
      <c r="J288" s="3" t="s">
        <v>27</v>
      </c>
    </row>
    <row r="289" spans="1:10" x14ac:dyDescent="0.3">
      <c r="A289" s="1" t="s">
        <v>199</v>
      </c>
      <c r="B289" s="1" t="s">
        <v>10</v>
      </c>
      <c r="C289" s="2">
        <v>45370</v>
      </c>
      <c r="D289" s="1" t="s">
        <v>11</v>
      </c>
      <c r="E289" s="1">
        <v>2878</v>
      </c>
      <c r="F289" s="1">
        <v>278</v>
      </c>
      <c r="G289" s="1">
        <v>255</v>
      </c>
      <c r="H289" s="1">
        <v>47235</v>
      </c>
      <c r="I289" s="4">
        <f>((Table1_1[[#This Row],[Likes]]+Table1_1[[#This Row],[Shares]]+Table1_1[[#This Row],[Comments]])/Table1_1[[#This Row],[Impressions]])*100</f>
        <v>7.2213401079707848</v>
      </c>
      <c r="J289" s="3" t="s">
        <v>24</v>
      </c>
    </row>
    <row r="290" spans="1:10" x14ac:dyDescent="0.3">
      <c r="A290" s="1" t="s">
        <v>200</v>
      </c>
      <c r="B290" s="1" t="s">
        <v>15</v>
      </c>
      <c r="C290" s="2">
        <v>45496</v>
      </c>
      <c r="D290" s="1" t="s">
        <v>11</v>
      </c>
      <c r="E290" s="1">
        <v>3204</v>
      </c>
      <c r="F290" s="1">
        <v>398</v>
      </c>
      <c r="G290" s="1">
        <v>85</v>
      </c>
      <c r="H290" s="1">
        <v>22020</v>
      </c>
      <c r="I290" s="4">
        <f>((Table1_1[[#This Row],[Likes]]+Table1_1[[#This Row],[Shares]]+Table1_1[[#This Row],[Comments]])/Table1_1[[#This Row],[Impressions]])*100</f>
        <v>16.743869209809265</v>
      </c>
      <c r="J290" s="3" t="s">
        <v>27</v>
      </c>
    </row>
    <row r="291" spans="1:10" x14ac:dyDescent="0.3">
      <c r="A291" s="1" t="s">
        <v>201</v>
      </c>
      <c r="B291" s="1" t="s">
        <v>15</v>
      </c>
      <c r="C291" s="2">
        <v>45486</v>
      </c>
      <c r="D291" s="1" t="s">
        <v>16</v>
      </c>
      <c r="E291" s="1">
        <v>2408</v>
      </c>
      <c r="F291" s="1">
        <v>323</v>
      </c>
      <c r="G291" s="1">
        <v>251</v>
      </c>
      <c r="H291" s="1">
        <v>47599</v>
      </c>
      <c r="I291" s="4">
        <f>((Table1_1[[#This Row],[Likes]]+Table1_1[[#This Row],[Shares]]+Table1_1[[#This Row],[Comments]])/Table1_1[[#This Row],[Impressions]])*100</f>
        <v>6.2648374965860638</v>
      </c>
      <c r="J291" s="3" t="s">
        <v>319</v>
      </c>
    </row>
    <row r="292" spans="1:10" x14ac:dyDescent="0.3">
      <c r="A292" s="1" t="s">
        <v>201</v>
      </c>
      <c r="B292" s="1" t="s">
        <v>15</v>
      </c>
      <c r="C292" s="2">
        <v>45486</v>
      </c>
      <c r="D292" s="1" t="s">
        <v>16</v>
      </c>
      <c r="E292" s="1">
        <v>2408</v>
      </c>
      <c r="F292" s="1">
        <v>323</v>
      </c>
      <c r="G292" s="1">
        <v>251</v>
      </c>
      <c r="H292" s="1">
        <v>47599</v>
      </c>
      <c r="I292" s="4">
        <f>((Table1_1[[#This Row],[Likes]]+Table1_1[[#This Row],[Shares]]+Table1_1[[#This Row],[Comments]])/Table1_1[[#This Row],[Impressions]])*100</f>
        <v>6.2648374965860638</v>
      </c>
      <c r="J292" s="3" t="s">
        <v>24</v>
      </c>
    </row>
    <row r="293" spans="1:10" x14ac:dyDescent="0.3">
      <c r="A293" s="1" t="s">
        <v>202</v>
      </c>
      <c r="B293" s="1" t="s">
        <v>19</v>
      </c>
      <c r="C293" s="2">
        <v>45769</v>
      </c>
      <c r="D293" s="1" t="s">
        <v>36</v>
      </c>
      <c r="E293" s="1">
        <v>2733</v>
      </c>
      <c r="F293" s="1">
        <v>297</v>
      </c>
      <c r="G293" s="1">
        <v>235</v>
      </c>
      <c r="H293" s="1">
        <v>37980</v>
      </c>
      <c r="I293" s="4">
        <f>((Table1_1[[#This Row],[Likes]]+Table1_1[[#This Row],[Shares]]+Table1_1[[#This Row],[Comments]])/Table1_1[[#This Row],[Impressions]])*100</f>
        <v>8.5966298051606103</v>
      </c>
      <c r="J293" s="3" t="s">
        <v>13</v>
      </c>
    </row>
    <row r="294" spans="1:10" x14ac:dyDescent="0.3">
      <c r="A294" s="1" t="s">
        <v>202</v>
      </c>
      <c r="B294" s="1" t="s">
        <v>19</v>
      </c>
      <c r="C294" s="2">
        <v>45769</v>
      </c>
      <c r="D294" s="1" t="s">
        <v>36</v>
      </c>
      <c r="E294" s="1">
        <v>2733</v>
      </c>
      <c r="F294" s="1">
        <v>297</v>
      </c>
      <c r="G294" s="1">
        <v>235</v>
      </c>
      <c r="H294" s="1">
        <v>37980</v>
      </c>
      <c r="I294" s="4">
        <f>((Table1_1[[#This Row],[Likes]]+Table1_1[[#This Row],[Shares]]+Table1_1[[#This Row],[Comments]])/Table1_1[[#This Row],[Impressions]])*100</f>
        <v>8.5966298051606103</v>
      </c>
      <c r="J294" s="3" t="s">
        <v>27</v>
      </c>
    </row>
    <row r="295" spans="1:10" x14ac:dyDescent="0.3">
      <c r="A295" s="1" t="s">
        <v>203</v>
      </c>
      <c r="B295" s="1" t="s">
        <v>15</v>
      </c>
      <c r="C295" s="2">
        <v>45459</v>
      </c>
      <c r="D295" s="1" t="s">
        <v>16</v>
      </c>
      <c r="E295" s="1">
        <v>4618</v>
      </c>
      <c r="F295" s="1">
        <v>312</v>
      </c>
      <c r="G295" s="1">
        <v>254</v>
      </c>
      <c r="H295" s="1">
        <v>22571</v>
      </c>
      <c r="I295" s="4">
        <f>((Table1_1[[#This Row],[Likes]]+Table1_1[[#This Row],[Shares]]+Table1_1[[#This Row],[Comments]])/Table1_1[[#This Row],[Impressions]])*100</f>
        <v>22.967524699836073</v>
      </c>
      <c r="J295" s="3" t="s">
        <v>319</v>
      </c>
    </row>
    <row r="296" spans="1:10" x14ac:dyDescent="0.3">
      <c r="A296" s="1" t="s">
        <v>203</v>
      </c>
      <c r="B296" s="1" t="s">
        <v>15</v>
      </c>
      <c r="C296" s="2">
        <v>45459</v>
      </c>
      <c r="D296" s="1" t="s">
        <v>16</v>
      </c>
      <c r="E296" s="1">
        <v>4618</v>
      </c>
      <c r="F296" s="1">
        <v>312</v>
      </c>
      <c r="G296" s="1">
        <v>254</v>
      </c>
      <c r="H296" s="1">
        <v>22571</v>
      </c>
      <c r="I296" s="4">
        <f>((Table1_1[[#This Row],[Likes]]+Table1_1[[#This Row],[Shares]]+Table1_1[[#This Row],[Comments]])/Table1_1[[#This Row],[Impressions]])*100</f>
        <v>22.967524699836073</v>
      </c>
      <c r="J296" s="3" t="s">
        <v>24</v>
      </c>
    </row>
    <row r="297" spans="1:10" x14ac:dyDescent="0.3">
      <c r="A297" s="1" t="s">
        <v>204</v>
      </c>
      <c r="B297" s="1" t="s">
        <v>19</v>
      </c>
      <c r="C297" s="2">
        <v>45795</v>
      </c>
      <c r="D297" s="1" t="s">
        <v>36</v>
      </c>
      <c r="E297" s="1">
        <v>4210</v>
      </c>
      <c r="F297" s="1">
        <v>319</v>
      </c>
      <c r="G297" s="1">
        <v>350</v>
      </c>
      <c r="H297" s="1">
        <v>37762</v>
      </c>
      <c r="I297" s="4">
        <f>((Table1_1[[#This Row],[Likes]]+Table1_1[[#This Row],[Shares]]+Table1_1[[#This Row],[Comments]])/Table1_1[[#This Row],[Impressions]])*100</f>
        <v>12.920396165457337</v>
      </c>
      <c r="J297" s="3" t="s">
        <v>13</v>
      </c>
    </row>
    <row r="298" spans="1:10" x14ac:dyDescent="0.3">
      <c r="A298" s="1" t="s">
        <v>204</v>
      </c>
      <c r="B298" s="1" t="s">
        <v>19</v>
      </c>
      <c r="C298" s="2">
        <v>45795</v>
      </c>
      <c r="D298" s="1" t="s">
        <v>36</v>
      </c>
      <c r="E298" s="1">
        <v>4210</v>
      </c>
      <c r="F298" s="1">
        <v>319</v>
      </c>
      <c r="G298" s="1">
        <v>350</v>
      </c>
      <c r="H298" s="1">
        <v>37762</v>
      </c>
      <c r="I298" s="4">
        <f>((Table1_1[[#This Row],[Likes]]+Table1_1[[#This Row],[Shares]]+Table1_1[[#This Row],[Comments]])/Table1_1[[#This Row],[Impressions]])*100</f>
        <v>12.920396165457337</v>
      </c>
      <c r="J298" s="3" t="s">
        <v>27</v>
      </c>
    </row>
    <row r="299" spans="1:10" x14ac:dyDescent="0.3">
      <c r="A299" s="1" t="s">
        <v>205</v>
      </c>
      <c r="B299" s="1" t="s">
        <v>10</v>
      </c>
      <c r="C299" s="2">
        <v>45814</v>
      </c>
      <c r="D299" s="1" t="s">
        <v>11</v>
      </c>
      <c r="E299" s="1">
        <v>3987</v>
      </c>
      <c r="F299" s="1">
        <v>171</v>
      </c>
      <c r="G299" s="1">
        <v>274</v>
      </c>
      <c r="H299" s="1">
        <v>45122</v>
      </c>
      <c r="I299" s="4">
        <f>((Table1_1[[#This Row],[Likes]]+Table1_1[[#This Row],[Shares]]+Table1_1[[#This Row],[Comments]])/Table1_1[[#This Row],[Impressions]])*100</f>
        <v>9.8222596516111871</v>
      </c>
      <c r="J299" s="3" t="s">
        <v>13</v>
      </c>
    </row>
    <row r="300" spans="1:10" x14ac:dyDescent="0.3">
      <c r="A300" s="1" t="s">
        <v>206</v>
      </c>
      <c r="B300" s="1" t="s">
        <v>19</v>
      </c>
      <c r="C300" s="2">
        <v>45708</v>
      </c>
      <c r="D300" s="1" t="s">
        <v>36</v>
      </c>
      <c r="E300" s="1">
        <v>4957</v>
      </c>
      <c r="F300" s="1">
        <v>262</v>
      </c>
      <c r="G300" s="1">
        <v>365</v>
      </c>
      <c r="H300" s="1">
        <v>49199</v>
      </c>
      <c r="I300" s="4">
        <f>((Table1_1[[#This Row],[Likes]]+Table1_1[[#This Row],[Shares]]+Table1_1[[#This Row],[Comments]])/Table1_1[[#This Row],[Impressions]])*100</f>
        <v>11.349824183418363</v>
      </c>
      <c r="J300" s="3" t="s">
        <v>13</v>
      </c>
    </row>
    <row r="301" spans="1:10" x14ac:dyDescent="0.3">
      <c r="A301" s="1" t="s">
        <v>206</v>
      </c>
      <c r="B301" s="1" t="s">
        <v>19</v>
      </c>
      <c r="C301" s="2">
        <v>45708</v>
      </c>
      <c r="D301" s="1" t="s">
        <v>36</v>
      </c>
      <c r="E301" s="1">
        <v>4957</v>
      </c>
      <c r="F301" s="1">
        <v>262</v>
      </c>
      <c r="G301" s="1">
        <v>365</v>
      </c>
      <c r="H301" s="1">
        <v>49199</v>
      </c>
      <c r="I301" s="4">
        <f>((Table1_1[[#This Row],[Likes]]+Table1_1[[#This Row],[Shares]]+Table1_1[[#This Row],[Comments]])/Table1_1[[#This Row],[Impressions]])*100</f>
        <v>11.349824183418363</v>
      </c>
      <c r="J301" s="3" t="s">
        <v>27</v>
      </c>
    </row>
    <row r="302" spans="1:10" x14ac:dyDescent="0.3">
      <c r="A302" s="1" t="s">
        <v>207</v>
      </c>
      <c r="B302" s="1" t="s">
        <v>10</v>
      </c>
      <c r="C302" s="2">
        <v>45673</v>
      </c>
      <c r="D302" s="1" t="s">
        <v>11</v>
      </c>
      <c r="E302" s="1">
        <v>2605</v>
      </c>
      <c r="F302" s="1">
        <v>282</v>
      </c>
      <c r="G302" s="1">
        <v>148</v>
      </c>
      <c r="H302" s="1">
        <v>32201</v>
      </c>
      <c r="I302" s="4">
        <f>((Table1_1[[#This Row],[Likes]]+Table1_1[[#This Row],[Shares]]+Table1_1[[#This Row],[Comments]])/Table1_1[[#This Row],[Impressions]])*100</f>
        <v>9.4251731312692151</v>
      </c>
      <c r="J302" s="3" t="s">
        <v>27</v>
      </c>
    </row>
    <row r="303" spans="1:10" x14ac:dyDescent="0.3">
      <c r="A303" s="1" t="s">
        <v>207</v>
      </c>
      <c r="B303" s="1" t="s">
        <v>10</v>
      </c>
      <c r="C303" s="2">
        <v>45673</v>
      </c>
      <c r="D303" s="1" t="s">
        <v>11</v>
      </c>
      <c r="E303" s="1">
        <v>2605</v>
      </c>
      <c r="F303" s="1">
        <v>282</v>
      </c>
      <c r="G303" s="1">
        <v>148</v>
      </c>
      <c r="H303" s="1">
        <v>32201</v>
      </c>
      <c r="I303" s="4">
        <f>((Table1_1[[#This Row],[Likes]]+Table1_1[[#This Row],[Shares]]+Table1_1[[#This Row],[Comments]])/Table1_1[[#This Row],[Impressions]])*100</f>
        <v>9.4251731312692151</v>
      </c>
      <c r="J303" s="3" t="s">
        <v>24</v>
      </c>
    </row>
    <row r="304" spans="1:10" x14ac:dyDescent="0.3">
      <c r="A304" s="1" t="s">
        <v>208</v>
      </c>
      <c r="B304" s="1" t="s">
        <v>19</v>
      </c>
      <c r="C304" s="2">
        <v>45346</v>
      </c>
      <c r="D304" s="1" t="s">
        <v>36</v>
      </c>
      <c r="E304" s="1">
        <v>4221</v>
      </c>
      <c r="F304" s="1">
        <v>307</v>
      </c>
      <c r="G304" s="1">
        <v>58</v>
      </c>
      <c r="H304" s="1">
        <v>45080</v>
      </c>
      <c r="I304" s="4">
        <f>((Table1_1[[#This Row],[Likes]]+Table1_1[[#This Row],[Shares]]+Table1_1[[#This Row],[Comments]])/Table1_1[[#This Row],[Impressions]])*100</f>
        <v>10.173025732031943</v>
      </c>
      <c r="J304" s="3" t="s">
        <v>13</v>
      </c>
    </row>
    <row r="305" spans="1:10" x14ac:dyDescent="0.3">
      <c r="A305" s="1" t="s">
        <v>208</v>
      </c>
      <c r="B305" s="1" t="s">
        <v>19</v>
      </c>
      <c r="C305" s="2">
        <v>45346</v>
      </c>
      <c r="D305" s="1" t="s">
        <v>36</v>
      </c>
      <c r="E305" s="1">
        <v>4221</v>
      </c>
      <c r="F305" s="1">
        <v>307</v>
      </c>
      <c r="G305" s="1">
        <v>58</v>
      </c>
      <c r="H305" s="1">
        <v>45080</v>
      </c>
      <c r="I305" s="4">
        <f>((Table1_1[[#This Row],[Likes]]+Table1_1[[#This Row],[Shares]]+Table1_1[[#This Row],[Comments]])/Table1_1[[#This Row],[Impressions]])*100</f>
        <v>10.173025732031943</v>
      </c>
      <c r="J305" s="3" t="s">
        <v>27</v>
      </c>
    </row>
    <row r="306" spans="1:10" x14ac:dyDescent="0.3">
      <c r="A306" s="1" t="s">
        <v>209</v>
      </c>
      <c r="B306" s="1" t="s">
        <v>15</v>
      </c>
      <c r="C306" s="2">
        <v>45551</v>
      </c>
      <c r="D306" s="1" t="s">
        <v>16</v>
      </c>
      <c r="E306" s="1">
        <v>4422</v>
      </c>
      <c r="F306" s="1">
        <v>434</v>
      </c>
      <c r="G306" s="1">
        <v>156</v>
      </c>
      <c r="H306" s="1">
        <v>56165</v>
      </c>
      <c r="I306" s="4">
        <f>((Table1_1[[#This Row],[Likes]]+Table1_1[[#This Row],[Shares]]+Table1_1[[#This Row],[Comments]])/Table1_1[[#This Row],[Impressions]])*100</f>
        <v>8.9237069349238851</v>
      </c>
      <c r="J306" s="3" t="s">
        <v>13</v>
      </c>
    </row>
    <row r="307" spans="1:10" x14ac:dyDescent="0.3">
      <c r="A307" s="1" t="s">
        <v>209</v>
      </c>
      <c r="B307" s="1" t="s">
        <v>15</v>
      </c>
      <c r="C307" s="2">
        <v>45551</v>
      </c>
      <c r="D307" s="1" t="s">
        <v>16</v>
      </c>
      <c r="E307" s="1">
        <v>4422</v>
      </c>
      <c r="F307" s="1">
        <v>434</v>
      </c>
      <c r="G307" s="1">
        <v>156</v>
      </c>
      <c r="H307" s="1">
        <v>56165</v>
      </c>
      <c r="I307" s="4">
        <f>((Table1_1[[#This Row],[Likes]]+Table1_1[[#This Row],[Shares]]+Table1_1[[#This Row],[Comments]])/Table1_1[[#This Row],[Impressions]])*100</f>
        <v>8.9237069349238851</v>
      </c>
      <c r="J307" s="3" t="s">
        <v>319</v>
      </c>
    </row>
    <row r="308" spans="1:10" x14ac:dyDescent="0.3">
      <c r="A308" s="1" t="s">
        <v>210</v>
      </c>
      <c r="B308" s="1" t="s">
        <v>19</v>
      </c>
      <c r="C308" s="2">
        <v>45447</v>
      </c>
      <c r="D308" s="1" t="s">
        <v>36</v>
      </c>
      <c r="E308" s="1">
        <v>1211</v>
      </c>
      <c r="F308" s="1">
        <v>431</v>
      </c>
      <c r="G308" s="1">
        <v>83</v>
      </c>
      <c r="H308" s="1">
        <v>26532</v>
      </c>
      <c r="I308" s="4">
        <f>((Table1_1[[#This Row],[Likes]]+Table1_1[[#This Row],[Shares]]+Table1_1[[#This Row],[Comments]])/Table1_1[[#This Row],[Impressions]])*100</f>
        <v>6.5015829941203069</v>
      </c>
      <c r="J308" s="3" t="s">
        <v>13</v>
      </c>
    </row>
    <row r="309" spans="1:10" x14ac:dyDescent="0.3">
      <c r="A309" s="1" t="s">
        <v>210</v>
      </c>
      <c r="B309" s="1" t="s">
        <v>19</v>
      </c>
      <c r="C309" s="2">
        <v>45447</v>
      </c>
      <c r="D309" s="1" t="s">
        <v>36</v>
      </c>
      <c r="E309" s="1">
        <v>1211</v>
      </c>
      <c r="F309" s="1">
        <v>431</v>
      </c>
      <c r="G309" s="1">
        <v>83</v>
      </c>
      <c r="H309" s="1">
        <v>26532</v>
      </c>
      <c r="I309" s="4">
        <f>((Table1_1[[#This Row],[Likes]]+Table1_1[[#This Row],[Shares]]+Table1_1[[#This Row],[Comments]])/Table1_1[[#This Row],[Impressions]])*100</f>
        <v>6.5015829941203069</v>
      </c>
      <c r="J309" s="3" t="s">
        <v>27</v>
      </c>
    </row>
    <row r="310" spans="1:10" x14ac:dyDescent="0.3">
      <c r="A310" s="1" t="s">
        <v>211</v>
      </c>
      <c r="B310" s="1" t="s">
        <v>15</v>
      </c>
      <c r="C310" s="2">
        <v>45422</v>
      </c>
      <c r="D310" s="1" t="s">
        <v>16</v>
      </c>
      <c r="E310" s="1">
        <v>2784</v>
      </c>
      <c r="F310" s="1">
        <v>111</v>
      </c>
      <c r="G310" s="1">
        <v>399</v>
      </c>
      <c r="H310" s="1">
        <v>58366</v>
      </c>
      <c r="I310" s="4">
        <f>((Table1_1[[#This Row],[Likes]]+Table1_1[[#This Row],[Shares]]+Table1_1[[#This Row],[Comments]])/Table1_1[[#This Row],[Impressions]])*100</f>
        <v>5.6436966727204192</v>
      </c>
      <c r="J310" s="3" t="s">
        <v>319</v>
      </c>
    </row>
    <row r="311" spans="1:10" x14ac:dyDescent="0.3">
      <c r="A311" s="1" t="s">
        <v>211</v>
      </c>
      <c r="B311" s="1" t="s">
        <v>15</v>
      </c>
      <c r="C311" s="2">
        <v>45422</v>
      </c>
      <c r="D311" s="1" t="s">
        <v>16</v>
      </c>
      <c r="E311" s="1">
        <v>2784</v>
      </c>
      <c r="F311" s="1">
        <v>111</v>
      </c>
      <c r="G311" s="1">
        <v>399</v>
      </c>
      <c r="H311" s="1">
        <v>58366</v>
      </c>
      <c r="I311" s="4">
        <f>((Table1_1[[#This Row],[Likes]]+Table1_1[[#This Row],[Shares]]+Table1_1[[#This Row],[Comments]])/Table1_1[[#This Row],[Impressions]])*100</f>
        <v>5.6436966727204192</v>
      </c>
      <c r="J311" s="3" t="s">
        <v>24</v>
      </c>
    </row>
    <row r="312" spans="1:10" x14ac:dyDescent="0.3">
      <c r="A312" s="1" t="s">
        <v>212</v>
      </c>
      <c r="B312" s="1" t="s">
        <v>19</v>
      </c>
      <c r="C312" s="2">
        <v>45305</v>
      </c>
      <c r="D312" s="1" t="s">
        <v>11</v>
      </c>
      <c r="E312" s="1">
        <v>3634</v>
      </c>
      <c r="F312" s="1">
        <v>280</v>
      </c>
      <c r="G312" s="1">
        <v>399</v>
      </c>
      <c r="H312" s="1">
        <v>40256</v>
      </c>
      <c r="I312" s="4">
        <f>((Table1_1[[#This Row],[Likes]]+Table1_1[[#This Row],[Shares]]+Table1_1[[#This Row],[Comments]])/Table1_1[[#This Row],[Impressions]])*100</f>
        <v>10.713930842607313</v>
      </c>
      <c r="J312" s="3" t="s">
        <v>13</v>
      </c>
    </row>
    <row r="313" spans="1:10" x14ac:dyDescent="0.3">
      <c r="A313" s="1" t="s">
        <v>212</v>
      </c>
      <c r="B313" s="1" t="s">
        <v>19</v>
      </c>
      <c r="C313" s="2">
        <v>45305</v>
      </c>
      <c r="D313" s="1" t="s">
        <v>11</v>
      </c>
      <c r="E313" s="1">
        <v>3634</v>
      </c>
      <c r="F313" s="1">
        <v>280</v>
      </c>
      <c r="G313" s="1">
        <v>399</v>
      </c>
      <c r="H313" s="1">
        <v>40256</v>
      </c>
      <c r="I313" s="4">
        <f>((Table1_1[[#This Row],[Likes]]+Table1_1[[#This Row],[Shares]]+Table1_1[[#This Row],[Comments]])/Table1_1[[#This Row],[Impressions]])*100</f>
        <v>10.713930842607313</v>
      </c>
      <c r="J313" s="3" t="s">
        <v>320</v>
      </c>
    </row>
    <row r="314" spans="1:10" x14ac:dyDescent="0.3">
      <c r="A314" s="1" t="s">
        <v>213</v>
      </c>
      <c r="B314" s="1" t="s">
        <v>10</v>
      </c>
      <c r="C314" s="2">
        <v>45669</v>
      </c>
      <c r="D314" s="1" t="s">
        <v>11</v>
      </c>
      <c r="E314" s="1">
        <v>1771</v>
      </c>
      <c r="F314" s="1">
        <v>487</v>
      </c>
      <c r="G314" s="1">
        <v>272</v>
      </c>
      <c r="H314" s="1">
        <v>48810</v>
      </c>
      <c r="I314" s="4">
        <f>((Table1_1[[#This Row],[Likes]]+Table1_1[[#This Row],[Shares]]+Table1_1[[#This Row],[Comments]])/Table1_1[[#This Row],[Impressions]])*100</f>
        <v>5.1833640647408314</v>
      </c>
      <c r="J314" s="3" t="s">
        <v>27</v>
      </c>
    </row>
    <row r="315" spans="1:10" x14ac:dyDescent="0.3">
      <c r="A315" s="1" t="s">
        <v>213</v>
      </c>
      <c r="B315" s="1" t="s">
        <v>10</v>
      </c>
      <c r="C315" s="2">
        <v>45669</v>
      </c>
      <c r="D315" s="1" t="s">
        <v>11</v>
      </c>
      <c r="E315" s="1">
        <v>1771</v>
      </c>
      <c r="F315" s="1">
        <v>487</v>
      </c>
      <c r="G315" s="1">
        <v>272</v>
      </c>
      <c r="H315" s="1">
        <v>48810</v>
      </c>
      <c r="I315" s="4">
        <f>((Table1_1[[#This Row],[Likes]]+Table1_1[[#This Row],[Shares]]+Table1_1[[#This Row],[Comments]])/Table1_1[[#This Row],[Impressions]])*100</f>
        <v>5.1833640647408314</v>
      </c>
      <c r="J315" s="3" t="s">
        <v>24</v>
      </c>
    </row>
    <row r="316" spans="1:10" x14ac:dyDescent="0.3">
      <c r="A316" s="1" t="s">
        <v>214</v>
      </c>
      <c r="B316" s="1" t="s">
        <v>19</v>
      </c>
      <c r="C316" s="2">
        <v>45634</v>
      </c>
      <c r="D316" s="1" t="s">
        <v>11</v>
      </c>
      <c r="E316" s="1">
        <v>1424</v>
      </c>
      <c r="F316" s="1">
        <v>396</v>
      </c>
      <c r="G316" s="1">
        <v>312</v>
      </c>
      <c r="H316" s="1">
        <v>59517</v>
      </c>
      <c r="I316" s="4">
        <f>((Table1_1[[#This Row],[Likes]]+Table1_1[[#This Row],[Shares]]+Table1_1[[#This Row],[Comments]])/Table1_1[[#This Row],[Impressions]])*100</f>
        <v>3.5821698002251456</v>
      </c>
      <c r="J316" s="3" t="s">
        <v>13</v>
      </c>
    </row>
    <row r="317" spans="1:10" x14ac:dyDescent="0.3">
      <c r="A317" s="1" t="s">
        <v>214</v>
      </c>
      <c r="B317" s="1" t="s">
        <v>19</v>
      </c>
      <c r="C317" s="2">
        <v>45634</v>
      </c>
      <c r="D317" s="1" t="s">
        <v>11</v>
      </c>
      <c r="E317" s="1">
        <v>1424</v>
      </c>
      <c r="F317" s="1">
        <v>396</v>
      </c>
      <c r="G317" s="1">
        <v>312</v>
      </c>
      <c r="H317" s="1">
        <v>59517</v>
      </c>
      <c r="I317" s="4">
        <f>((Table1_1[[#This Row],[Likes]]+Table1_1[[#This Row],[Shares]]+Table1_1[[#This Row],[Comments]])/Table1_1[[#This Row],[Impressions]])*100</f>
        <v>3.5821698002251456</v>
      </c>
      <c r="J317" s="3" t="s">
        <v>320</v>
      </c>
    </row>
    <row r="318" spans="1:10" x14ac:dyDescent="0.3">
      <c r="A318" s="1" t="s">
        <v>215</v>
      </c>
      <c r="B318" s="1" t="s">
        <v>15</v>
      </c>
      <c r="C318" s="2">
        <v>45689</v>
      </c>
      <c r="D318" s="1" t="s">
        <v>16</v>
      </c>
      <c r="E318" s="1">
        <v>1079</v>
      </c>
      <c r="F318" s="1">
        <v>265</v>
      </c>
      <c r="G318" s="1">
        <v>190</v>
      </c>
      <c r="H318" s="1">
        <v>43786</v>
      </c>
      <c r="I318" s="4">
        <f>((Table1_1[[#This Row],[Likes]]+Table1_1[[#This Row],[Shares]]+Table1_1[[#This Row],[Comments]])/Table1_1[[#This Row],[Impressions]])*100</f>
        <v>3.5034029141734799</v>
      </c>
      <c r="J318" s="3" t="s">
        <v>27</v>
      </c>
    </row>
    <row r="319" spans="1:10" x14ac:dyDescent="0.3">
      <c r="A319" s="1" t="s">
        <v>215</v>
      </c>
      <c r="B319" s="1" t="s">
        <v>15</v>
      </c>
      <c r="C319" s="2">
        <v>45689</v>
      </c>
      <c r="D319" s="1" t="s">
        <v>16</v>
      </c>
      <c r="E319" s="1">
        <v>1079</v>
      </c>
      <c r="F319" s="1">
        <v>265</v>
      </c>
      <c r="G319" s="1">
        <v>190</v>
      </c>
      <c r="H319" s="1">
        <v>43786</v>
      </c>
      <c r="I319" s="4">
        <f>((Table1_1[[#This Row],[Likes]]+Table1_1[[#This Row],[Shares]]+Table1_1[[#This Row],[Comments]])/Table1_1[[#This Row],[Impressions]])*100</f>
        <v>3.5034029141734799</v>
      </c>
      <c r="J319" s="3" t="s">
        <v>24</v>
      </c>
    </row>
    <row r="320" spans="1:10" x14ac:dyDescent="0.3">
      <c r="A320" s="1" t="s">
        <v>216</v>
      </c>
      <c r="B320" s="1" t="s">
        <v>15</v>
      </c>
      <c r="C320" s="2">
        <v>45484</v>
      </c>
      <c r="D320" s="1" t="s">
        <v>16</v>
      </c>
      <c r="E320" s="1">
        <v>4247</v>
      </c>
      <c r="F320" s="1">
        <v>179</v>
      </c>
      <c r="G320" s="1">
        <v>175</v>
      </c>
      <c r="H320" s="1">
        <v>32991</v>
      </c>
      <c r="I320" s="4">
        <f>((Table1_1[[#This Row],[Likes]]+Table1_1[[#This Row],[Shares]]+Table1_1[[#This Row],[Comments]])/Table1_1[[#This Row],[Impressions]])*100</f>
        <v>13.946227759085811</v>
      </c>
      <c r="J320" s="3" t="s">
        <v>27</v>
      </c>
    </row>
    <row r="321" spans="1:10" x14ac:dyDescent="0.3">
      <c r="A321" s="1" t="s">
        <v>216</v>
      </c>
      <c r="B321" s="1" t="s">
        <v>15</v>
      </c>
      <c r="C321" s="2">
        <v>45484</v>
      </c>
      <c r="D321" s="1" t="s">
        <v>16</v>
      </c>
      <c r="E321" s="1">
        <v>4247</v>
      </c>
      <c r="F321" s="1">
        <v>179</v>
      </c>
      <c r="G321" s="1">
        <v>175</v>
      </c>
      <c r="H321" s="1">
        <v>32991</v>
      </c>
      <c r="I321" s="4">
        <f>((Table1_1[[#This Row],[Likes]]+Table1_1[[#This Row],[Shares]]+Table1_1[[#This Row],[Comments]])/Table1_1[[#This Row],[Impressions]])*100</f>
        <v>13.946227759085811</v>
      </c>
      <c r="J321" s="3" t="s">
        <v>24</v>
      </c>
    </row>
    <row r="322" spans="1:10" x14ac:dyDescent="0.3">
      <c r="A322" s="1" t="s">
        <v>217</v>
      </c>
      <c r="B322" s="1" t="s">
        <v>15</v>
      </c>
      <c r="C322" s="2">
        <v>45369</v>
      </c>
      <c r="D322" s="1" t="s">
        <v>11</v>
      </c>
      <c r="E322" s="1">
        <v>2033</v>
      </c>
      <c r="F322" s="1">
        <v>420</v>
      </c>
      <c r="G322" s="1">
        <v>94</v>
      </c>
      <c r="H322" s="1">
        <v>56290</v>
      </c>
      <c r="I322" s="4">
        <f>((Table1_1[[#This Row],[Likes]]+Table1_1[[#This Row],[Shares]]+Table1_1[[#This Row],[Comments]])/Table1_1[[#This Row],[Impressions]])*100</f>
        <v>4.5247823769763729</v>
      </c>
      <c r="J322" s="3" t="s">
        <v>24</v>
      </c>
    </row>
    <row r="323" spans="1:10" x14ac:dyDescent="0.3">
      <c r="A323" s="1" t="s">
        <v>218</v>
      </c>
      <c r="B323" s="1" t="s">
        <v>15</v>
      </c>
      <c r="C323" s="2">
        <v>45547</v>
      </c>
      <c r="D323" s="1" t="s">
        <v>16</v>
      </c>
      <c r="E323" s="1">
        <v>1839</v>
      </c>
      <c r="F323" s="1">
        <v>223</v>
      </c>
      <c r="G323" s="1">
        <v>171</v>
      </c>
      <c r="H323" s="1">
        <v>35459</v>
      </c>
      <c r="I323" s="4">
        <f>((Table1_1[[#This Row],[Likes]]+Table1_1[[#This Row],[Shares]]+Table1_1[[#This Row],[Comments]])/Table1_1[[#This Row],[Impressions]])*100</f>
        <v>6.2974139146620036</v>
      </c>
      <c r="J323" s="3" t="s">
        <v>319</v>
      </c>
    </row>
    <row r="324" spans="1:10" x14ac:dyDescent="0.3">
      <c r="A324" s="1" t="s">
        <v>218</v>
      </c>
      <c r="B324" s="1" t="s">
        <v>15</v>
      </c>
      <c r="C324" s="2">
        <v>45547</v>
      </c>
      <c r="D324" s="1" t="s">
        <v>16</v>
      </c>
      <c r="E324" s="1">
        <v>1839</v>
      </c>
      <c r="F324" s="1">
        <v>223</v>
      </c>
      <c r="G324" s="1">
        <v>171</v>
      </c>
      <c r="H324" s="1">
        <v>35459</v>
      </c>
      <c r="I324" s="4">
        <f>((Table1_1[[#This Row],[Likes]]+Table1_1[[#This Row],[Shares]]+Table1_1[[#This Row],[Comments]])/Table1_1[[#This Row],[Impressions]])*100</f>
        <v>6.2974139146620036</v>
      </c>
      <c r="J324" s="3" t="s">
        <v>24</v>
      </c>
    </row>
    <row r="325" spans="1:10" x14ac:dyDescent="0.3">
      <c r="A325" s="1" t="s">
        <v>219</v>
      </c>
      <c r="B325" s="1" t="s">
        <v>15</v>
      </c>
      <c r="C325" s="2">
        <v>45302</v>
      </c>
      <c r="D325" s="1" t="s">
        <v>16</v>
      </c>
      <c r="E325" s="1">
        <v>2340</v>
      </c>
      <c r="F325" s="1">
        <v>141</v>
      </c>
      <c r="G325" s="1">
        <v>206</v>
      </c>
      <c r="H325" s="1">
        <v>24916</v>
      </c>
      <c r="I325" s="4">
        <f>((Table1_1[[#This Row],[Likes]]+Table1_1[[#This Row],[Shares]]+Table1_1[[#This Row],[Comments]])/Table1_1[[#This Row],[Impressions]])*100</f>
        <v>10.784235029699792</v>
      </c>
      <c r="J325" s="3" t="s">
        <v>27</v>
      </c>
    </row>
    <row r="326" spans="1:10" x14ac:dyDescent="0.3">
      <c r="A326" s="1" t="s">
        <v>219</v>
      </c>
      <c r="B326" s="1" t="s">
        <v>15</v>
      </c>
      <c r="C326" s="2">
        <v>45302</v>
      </c>
      <c r="D326" s="1" t="s">
        <v>16</v>
      </c>
      <c r="E326" s="1">
        <v>2340</v>
      </c>
      <c r="F326" s="1">
        <v>141</v>
      </c>
      <c r="G326" s="1">
        <v>206</v>
      </c>
      <c r="H326" s="1">
        <v>24916</v>
      </c>
      <c r="I326" s="4">
        <f>((Table1_1[[#This Row],[Likes]]+Table1_1[[#This Row],[Shares]]+Table1_1[[#This Row],[Comments]])/Table1_1[[#This Row],[Impressions]])*100</f>
        <v>10.784235029699792</v>
      </c>
      <c r="J326" s="3" t="s">
        <v>24</v>
      </c>
    </row>
    <row r="327" spans="1:10" x14ac:dyDescent="0.3">
      <c r="A327" s="1" t="s">
        <v>220</v>
      </c>
      <c r="B327" s="1" t="s">
        <v>10</v>
      </c>
      <c r="C327" s="2">
        <v>45571</v>
      </c>
      <c r="D327" s="1" t="s">
        <v>11</v>
      </c>
      <c r="E327" s="1">
        <v>2080</v>
      </c>
      <c r="F327" s="1">
        <v>389</v>
      </c>
      <c r="G327" s="1">
        <v>92</v>
      </c>
      <c r="H327" s="1">
        <v>30971</v>
      </c>
      <c r="I327" s="4">
        <f>((Table1_1[[#This Row],[Likes]]+Table1_1[[#This Row],[Shares]]+Table1_1[[#This Row],[Comments]])/Table1_1[[#This Row],[Impressions]])*100</f>
        <v>8.269025862904007</v>
      </c>
      <c r="J327" s="3" t="s">
        <v>13</v>
      </c>
    </row>
    <row r="328" spans="1:10" x14ac:dyDescent="0.3">
      <c r="A328" s="1" t="s">
        <v>221</v>
      </c>
      <c r="B328" s="1" t="s">
        <v>15</v>
      </c>
      <c r="C328" s="2">
        <v>45656</v>
      </c>
      <c r="D328" s="1" t="s">
        <v>11</v>
      </c>
      <c r="E328" s="1">
        <v>4214</v>
      </c>
      <c r="F328" s="1">
        <v>286</v>
      </c>
      <c r="G328" s="1">
        <v>127</v>
      </c>
      <c r="H328" s="1">
        <v>47293</v>
      </c>
      <c r="I328" s="4">
        <f>((Table1_1[[#This Row],[Likes]]+Table1_1[[#This Row],[Shares]]+Table1_1[[#This Row],[Comments]])/Table1_1[[#This Row],[Impressions]])*100</f>
        <v>9.7836889180216957</v>
      </c>
      <c r="J328" s="3" t="s">
        <v>24</v>
      </c>
    </row>
    <row r="329" spans="1:10" x14ac:dyDescent="0.3">
      <c r="A329" s="1" t="s">
        <v>222</v>
      </c>
      <c r="B329" s="1" t="s">
        <v>15</v>
      </c>
      <c r="C329" s="2">
        <v>45763</v>
      </c>
      <c r="D329" s="1" t="s">
        <v>11</v>
      </c>
      <c r="E329" s="1">
        <v>3792</v>
      </c>
      <c r="F329" s="1">
        <v>315</v>
      </c>
      <c r="G329" s="1">
        <v>120</v>
      </c>
      <c r="H329" s="1">
        <v>54592</v>
      </c>
      <c r="I329" s="4">
        <f>((Table1_1[[#This Row],[Likes]]+Table1_1[[#This Row],[Shares]]+Table1_1[[#This Row],[Comments]])/Table1_1[[#This Row],[Impressions]])*100</f>
        <v>7.7428927315357567</v>
      </c>
      <c r="J329" s="3" t="s">
        <v>27</v>
      </c>
    </row>
    <row r="330" spans="1:10" x14ac:dyDescent="0.3">
      <c r="A330" s="1" t="s">
        <v>223</v>
      </c>
      <c r="B330" s="1" t="s">
        <v>15</v>
      </c>
      <c r="C330" s="2">
        <v>45525</v>
      </c>
      <c r="D330" s="1" t="s">
        <v>16</v>
      </c>
      <c r="E330" s="1">
        <v>3989</v>
      </c>
      <c r="F330" s="1">
        <v>476</v>
      </c>
      <c r="G330" s="1">
        <v>128</v>
      </c>
      <c r="H330" s="1">
        <v>57569</v>
      </c>
      <c r="I330" s="4">
        <f>((Table1_1[[#This Row],[Likes]]+Table1_1[[#This Row],[Shares]]+Table1_1[[#This Row],[Comments]])/Table1_1[[#This Row],[Impressions]])*100</f>
        <v>7.9782521843353189</v>
      </c>
      <c r="J330" s="3" t="s">
        <v>13</v>
      </c>
    </row>
    <row r="331" spans="1:10" x14ac:dyDescent="0.3">
      <c r="A331" s="1" t="s">
        <v>223</v>
      </c>
      <c r="B331" s="1" t="s">
        <v>15</v>
      </c>
      <c r="C331" s="2">
        <v>45525</v>
      </c>
      <c r="D331" s="1" t="s">
        <v>16</v>
      </c>
      <c r="E331" s="1">
        <v>3989</v>
      </c>
      <c r="F331" s="1">
        <v>476</v>
      </c>
      <c r="G331" s="1">
        <v>128</v>
      </c>
      <c r="H331" s="1">
        <v>57569</v>
      </c>
      <c r="I331" s="4">
        <f>((Table1_1[[#This Row],[Likes]]+Table1_1[[#This Row],[Shares]]+Table1_1[[#This Row],[Comments]])/Table1_1[[#This Row],[Impressions]])*100</f>
        <v>7.9782521843353189</v>
      </c>
      <c r="J331" s="3" t="s">
        <v>319</v>
      </c>
    </row>
    <row r="332" spans="1:10" x14ac:dyDescent="0.3">
      <c r="A332" s="1" t="s">
        <v>224</v>
      </c>
      <c r="B332" s="1" t="s">
        <v>15</v>
      </c>
      <c r="C332" s="2">
        <v>45387</v>
      </c>
      <c r="D332" s="1" t="s">
        <v>16</v>
      </c>
      <c r="E332" s="1">
        <v>2857</v>
      </c>
      <c r="F332" s="1">
        <v>443</v>
      </c>
      <c r="G332" s="1">
        <v>359</v>
      </c>
      <c r="H332" s="1">
        <v>51519</v>
      </c>
      <c r="I332" s="4">
        <f>((Table1_1[[#This Row],[Likes]]+Table1_1[[#This Row],[Shares]]+Table1_1[[#This Row],[Comments]])/Table1_1[[#This Row],[Impressions]])*100</f>
        <v>7.102234127215203</v>
      </c>
      <c r="J332" s="3" t="s">
        <v>27</v>
      </c>
    </row>
    <row r="333" spans="1:10" x14ac:dyDescent="0.3">
      <c r="A333" s="1" t="s">
        <v>224</v>
      </c>
      <c r="B333" s="1" t="s">
        <v>15</v>
      </c>
      <c r="C333" s="2">
        <v>45387</v>
      </c>
      <c r="D333" s="1" t="s">
        <v>16</v>
      </c>
      <c r="E333" s="1">
        <v>2857</v>
      </c>
      <c r="F333" s="1">
        <v>443</v>
      </c>
      <c r="G333" s="1">
        <v>359</v>
      </c>
      <c r="H333" s="1">
        <v>51519</v>
      </c>
      <c r="I333" s="4">
        <f>((Table1_1[[#This Row],[Likes]]+Table1_1[[#This Row],[Shares]]+Table1_1[[#This Row],[Comments]])/Table1_1[[#This Row],[Impressions]])*100</f>
        <v>7.102234127215203</v>
      </c>
      <c r="J333" s="3" t="s">
        <v>24</v>
      </c>
    </row>
    <row r="334" spans="1:10" x14ac:dyDescent="0.3">
      <c r="A334" s="1" t="s">
        <v>225</v>
      </c>
      <c r="B334" s="1" t="s">
        <v>15</v>
      </c>
      <c r="C334" s="2">
        <v>45754</v>
      </c>
      <c r="D334" s="1" t="s">
        <v>11</v>
      </c>
      <c r="E334" s="1">
        <v>1403</v>
      </c>
      <c r="F334" s="1">
        <v>385</v>
      </c>
      <c r="G334" s="1">
        <v>344</v>
      </c>
      <c r="H334" s="1">
        <v>54223</v>
      </c>
      <c r="I334" s="4">
        <f>((Table1_1[[#This Row],[Likes]]+Table1_1[[#This Row],[Shares]]+Table1_1[[#This Row],[Comments]])/Table1_1[[#This Row],[Impressions]])*100</f>
        <v>3.9319108127547353</v>
      </c>
      <c r="J334" s="3" t="s">
        <v>27</v>
      </c>
    </row>
    <row r="335" spans="1:10" x14ac:dyDescent="0.3">
      <c r="A335" s="1" t="s">
        <v>226</v>
      </c>
      <c r="B335" s="1" t="s">
        <v>15</v>
      </c>
      <c r="C335" s="2">
        <v>45492</v>
      </c>
      <c r="D335" s="1" t="s">
        <v>16</v>
      </c>
      <c r="E335" s="1">
        <v>3071</v>
      </c>
      <c r="F335" s="1">
        <v>126</v>
      </c>
      <c r="G335" s="1">
        <v>200</v>
      </c>
      <c r="H335" s="1">
        <v>44013</v>
      </c>
      <c r="I335" s="4">
        <f>((Table1_1[[#This Row],[Likes]]+Table1_1[[#This Row],[Shares]]+Table1_1[[#This Row],[Comments]])/Table1_1[[#This Row],[Impressions]])*100</f>
        <v>7.7181741758116917</v>
      </c>
      <c r="J335" s="3" t="s">
        <v>13</v>
      </c>
    </row>
    <row r="336" spans="1:10" x14ac:dyDescent="0.3">
      <c r="A336" s="1" t="s">
        <v>226</v>
      </c>
      <c r="B336" s="1" t="s">
        <v>15</v>
      </c>
      <c r="C336" s="2">
        <v>45492</v>
      </c>
      <c r="D336" s="1" t="s">
        <v>16</v>
      </c>
      <c r="E336" s="1">
        <v>3071</v>
      </c>
      <c r="F336" s="1">
        <v>126</v>
      </c>
      <c r="G336" s="1">
        <v>200</v>
      </c>
      <c r="H336" s="1">
        <v>44013</v>
      </c>
      <c r="I336" s="4">
        <f>((Table1_1[[#This Row],[Likes]]+Table1_1[[#This Row],[Shares]]+Table1_1[[#This Row],[Comments]])/Table1_1[[#This Row],[Impressions]])*100</f>
        <v>7.7181741758116917</v>
      </c>
      <c r="J336" s="3" t="s">
        <v>319</v>
      </c>
    </row>
    <row r="337" spans="1:10" x14ac:dyDescent="0.3">
      <c r="A337" s="1" t="s">
        <v>227</v>
      </c>
      <c r="B337" s="1" t="s">
        <v>15</v>
      </c>
      <c r="C337" s="2">
        <v>45780</v>
      </c>
      <c r="D337" s="1" t="s">
        <v>16</v>
      </c>
      <c r="E337" s="1">
        <v>1010</v>
      </c>
      <c r="F337" s="1">
        <v>361</v>
      </c>
      <c r="G337" s="1">
        <v>240</v>
      </c>
      <c r="H337" s="1">
        <v>47229</v>
      </c>
      <c r="I337" s="4">
        <f>((Table1_1[[#This Row],[Likes]]+Table1_1[[#This Row],[Shares]]+Table1_1[[#This Row],[Comments]])/Table1_1[[#This Row],[Impressions]])*100</f>
        <v>3.4110398272247981</v>
      </c>
      <c r="J337" s="3" t="s">
        <v>27</v>
      </c>
    </row>
    <row r="338" spans="1:10" x14ac:dyDescent="0.3">
      <c r="A338" s="1" t="s">
        <v>227</v>
      </c>
      <c r="B338" s="1" t="s">
        <v>15</v>
      </c>
      <c r="C338" s="2">
        <v>45780</v>
      </c>
      <c r="D338" s="1" t="s">
        <v>16</v>
      </c>
      <c r="E338" s="1">
        <v>1010</v>
      </c>
      <c r="F338" s="1">
        <v>361</v>
      </c>
      <c r="G338" s="1">
        <v>240</v>
      </c>
      <c r="H338" s="1">
        <v>47229</v>
      </c>
      <c r="I338" s="4">
        <f>((Table1_1[[#This Row],[Likes]]+Table1_1[[#This Row],[Shares]]+Table1_1[[#This Row],[Comments]])/Table1_1[[#This Row],[Impressions]])*100</f>
        <v>3.4110398272247981</v>
      </c>
      <c r="J338" s="3" t="s">
        <v>24</v>
      </c>
    </row>
    <row r="339" spans="1:10" x14ac:dyDescent="0.3">
      <c r="A339" s="1" t="s">
        <v>228</v>
      </c>
      <c r="B339" s="1" t="s">
        <v>15</v>
      </c>
      <c r="C339" s="2">
        <v>45396</v>
      </c>
      <c r="D339" s="1" t="s">
        <v>16</v>
      </c>
      <c r="E339" s="1">
        <v>1295</v>
      </c>
      <c r="F339" s="1">
        <v>153</v>
      </c>
      <c r="G339" s="1">
        <v>81</v>
      </c>
      <c r="H339" s="1">
        <v>48350</v>
      </c>
      <c r="I339" s="4">
        <f>((Table1_1[[#This Row],[Likes]]+Table1_1[[#This Row],[Shares]]+Table1_1[[#This Row],[Comments]])/Table1_1[[#This Row],[Impressions]])*100</f>
        <v>3.1623578076525334</v>
      </c>
      <c r="J339" s="3" t="s">
        <v>13</v>
      </c>
    </row>
    <row r="340" spans="1:10" x14ac:dyDescent="0.3">
      <c r="A340" s="1" t="s">
        <v>228</v>
      </c>
      <c r="B340" s="1" t="s">
        <v>15</v>
      </c>
      <c r="C340" s="2">
        <v>45396</v>
      </c>
      <c r="D340" s="1" t="s">
        <v>16</v>
      </c>
      <c r="E340" s="1">
        <v>1295</v>
      </c>
      <c r="F340" s="1">
        <v>153</v>
      </c>
      <c r="G340" s="1">
        <v>81</v>
      </c>
      <c r="H340" s="1">
        <v>48350</v>
      </c>
      <c r="I340" s="4">
        <f>((Table1_1[[#This Row],[Likes]]+Table1_1[[#This Row],[Shares]]+Table1_1[[#This Row],[Comments]])/Table1_1[[#This Row],[Impressions]])*100</f>
        <v>3.1623578076525334</v>
      </c>
      <c r="J340" s="3" t="s">
        <v>319</v>
      </c>
    </row>
    <row r="341" spans="1:10" x14ac:dyDescent="0.3">
      <c r="A341" s="1" t="s">
        <v>229</v>
      </c>
      <c r="B341" s="1" t="s">
        <v>15</v>
      </c>
      <c r="C341" s="2">
        <v>45827</v>
      </c>
      <c r="D341" s="1" t="s">
        <v>16</v>
      </c>
      <c r="E341" s="1">
        <v>1433</v>
      </c>
      <c r="F341" s="1">
        <v>452</v>
      </c>
      <c r="G341" s="1">
        <v>305</v>
      </c>
      <c r="H341" s="1">
        <v>54541</v>
      </c>
      <c r="I341" s="4">
        <f>((Table1_1[[#This Row],[Likes]]+Table1_1[[#This Row],[Shares]]+Table1_1[[#This Row],[Comments]])/Table1_1[[#This Row],[Impressions]])*100</f>
        <v>4.0153279184466735</v>
      </c>
      <c r="J341" s="3" t="s">
        <v>13</v>
      </c>
    </row>
    <row r="342" spans="1:10" x14ac:dyDescent="0.3">
      <c r="A342" s="1" t="s">
        <v>229</v>
      </c>
      <c r="B342" s="1" t="s">
        <v>15</v>
      </c>
      <c r="C342" s="2">
        <v>45827</v>
      </c>
      <c r="D342" s="1" t="s">
        <v>16</v>
      </c>
      <c r="E342" s="1">
        <v>1433</v>
      </c>
      <c r="F342" s="1">
        <v>452</v>
      </c>
      <c r="G342" s="1">
        <v>305</v>
      </c>
      <c r="H342" s="1">
        <v>54541</v>
      </c>
      <c r="I342" s="4">
        <f>((Table1_1[[#This Row],[Likes]]+Table1_1[[#This Row],[Shares]]+Table1_1[[#This Row],[Comments]])/Table1_1[[#This Row],[Impressions]])*100</f>
        <v>4.0153279184466735</v>
      </c>
      <c r="J342" s="3" t="s">
        <v>319</v>
      </c>
    </row>
    <row r="343" spans="1:10" x14ac:dyDescent="0.3">
      <c r="A343" s="1" t="s">
        <v>230</v>
      </c>
      <c r="B343" s="1" t="s">
        <v>10</v>
      </c>
      <c r="C343" s="2">
        <v>45832</v>
      </c>
      <c r="D343" s="1" t="s">
        <v>16</v>
      </c>
      <c r="E343" s="1">
        <v>4902</v>
      </c>
      <c r="F343" s="1">
        <v>422</v>
      </c>
      <c r="G343" s="1">
        <v>376</v>
      </c>
      <c r="H343" s="1">
        <v>31674</v>
      </c>
      <c r="I343" s="4">
        <f>((Table1_1[[#This Row],[Likes]]+Table1_1[[#This Row],[Shares]]+Table1_1[[#This Row],[Comments]])/Table1_1[[#This Row],[Impressions]])*100</f>
        <v>17.995832544042432</v>
      </c>
      <c r="J343" s="3" t="s">
        <v>24</v>
      </c>
    </row>
    <row r="344" spans="1:10" x14ac:dyDescent="0.3">
      <c r="A344" s="1" t="s">
        <v>231</v>
      </c>
      <c r="B344" s="1" t="s">
        <v>15</v>
      </c>
      <c r="C344" s="2">
        <v>45574</v>
      </c>
      <c r="D344" s="1" t="s">
        <v>11</v>
      </c>
      <c r="E344" s="1">
        <v>2659</v>
      </c>
      <c r="F344" s="1">
        <v>167</v>
      </c>
      <c r="G344" s="1">
        <v>73</v>
      </c>
      <c r="H344" s="1">
        <v>23090</v>
      </c>
      <c r="I344" s="4">
        <f>((Table1_1[[#This Row],[Likes]]+Table1_1[[#This Row],[Shares]]+Table1_1[[#This Row],[Comments]])/Table1_1[[#This Row],[Impressions]])*100</f>
        <v>12.555218709398009</v>
      </c>
      <c r="J344" s="3" t="s">
        <v>27</v>
      </c>
    </row>
    <row r="345" spans="1:10" x14ac:dyDescent="0.3">
      <c r="A345" s="1" t="s">
        <v>232</v>
      </c>
      <c r="B345" s="1" t="s">
        <v>19</v>
      </c>
      <c r="C345" s="2">
        <v>45672</v>
      </c>
      <c r="D345" s="1" t="s">
        <v>11</v>
      </c>
      <c r="E345" s="1">
        <v>2599</v>
      </c>
      <c r="F345" s="1">
        <v>324</v>
      </c>
      <c r="G345" s="1">
        <v>182</v>
      </c>
      <c r="H345" s="1">
        <v>37525</v>
      </c>
      <c r="I345" s="4">
        <f>((Table1_1[[#This Row],[Likes]]+Table1_1[[#This Row],[Shares]]+Table1_1[[#This Row],[Comments]])/Table1_1[[#This Row],[Impressions]])*100</f>
        <v>8.2744836775483019</v>
      </c>
      <c r="J345" s="3" t="s">
        <v>13</v>
      </c>
    </row>
    <row r="346" spans="1:10" x14ac:dyDescent="0.3">
      <c r="A346" s="1" t="s">
        <v>232</v>
      </c>
      <c r="B346" s="1" t="s">
        <v>19</v>
      </c>
      <c r="C346" s="2">
        <v>45672</v>
      </c>
      <c r="D346" s="1" t="s">
        <v>11</v>
      </c>
      <c r="E346" s="1">
        <v>2599</v>
      </c>
      <c r="F346" s="1">
        <v>324</v>
      </c>
      <c r="G346" s="1">
        <v>182</v>
      </c>
      <c r="H346" s="1">
        <v>37525</v>
      </c>
      <c r="I346" s="4">
        <f>((Table1_1[[#This Row],[Likes]]+Table1_1[[#This Row],[Shares]]+Table1_1[[#This Row],[Comments]])/Table1_1[[#This Row],[Impressions]])*100</f>
        <v>8.2744836775483019</v>
      </c>
      <c r="J346" s="3" t="s">
        <v>320</v>
      </c>
    </row>
    <row r="347" spans="1:10" x14ac:dyDescent="0.3">
      <c r="A347" s="1" t="s">
        <v>233</v>
      </c>
      <c r="B347" s="1" t="s">
        <v>15</v>
      </c>
      <c r="C347" s="2">
        <v>45669</v>
      </c>
      <c r="D347" s="1" t="s">
        <v>11</v>
      </c>
      <c r="E347" s="1">
        <v>1765</v>
      </c>
      <c r="F347" s="1">
        <v>285</v>
      </c>
      <c r="G347" s="1">
        <v>100</v>
      </c>
      <c r="H347" s="1">
        <v>41313</v>
      </c>
      <c r="I347" s="4">
        <f>((Table1_1[[#This Row],[Likes]]+Table1_1[[#This Row],[Shares]]+Table1_1[[#This Row],[Comments]])/Table1_1[[#This Row],[Impressions]])*100</f>
        <v>5.2041730205988426</v>
      </c>
      <c r="J347" s="3" t="s">
        <v>27</v>
      </c>
    </row>
    <row r="348" spans="1:10" x14ac:dyDescent="0.3">
      <c r="A348" s="1" t="s">
        <v>234</v>
      </c>
      <c r="B348" s="1" t="s">
        <v>10</v>
      </c>
      <c r="C348" s="2">
        <v>45808</v>
      </c>
      <c r="D348" s="1" t="s">
        <v>11</v>
      </c>
      <c r="E348" s="1">
        <v>2169</v>
      </c>
      <c r="F348" s="1">
        <v>240</v>
      </c>
      <c r="G348" s="1">
        <v>57</v>
      </c>
      <c r="H348" s="1">
        <v>26109</v>
      </c>
      <c r="I348" s="4">
        <f>((Table1_1[[#This Row],[Likes]]+Table1_1[[#This Row],[Shares]]+Table1_1[[#This Row],[Comments]])/Table1_1[[#This Row],[Impressions]])*100</f>
        <v>9.4450189589796612</v>
      </c>
      <c r="J348" s="3" t="s">
        <v>27</v>
      </c>
    </row>
    <row r="349" spans="1:10" x14ac:dyDescent="0.3">
      <c r="A349" s="1" t="s">
        <v>234</v>
      </c>
      <c r="B349" s="1" t="s">
        <v>10</v>
      </c>
      <c r="C349" s="2">
        <v>45808</v>
      </c>
      <c r="D349" s="1" t="s">
        <v>11</v>
      </c>
      <c r="E349" s="1">
        <v>2169</v>
      </c>
      <c r="F349" s="1">
        <v>240</v>
      </c>
      <c r="G349" s="1">
        <v>57</v>
      </c>
      <c r="H349" s="1">
        <v>26109</v>
      </c>
      <c r="I349" s="4">
        <f>((Table1_1[[#This Row],[Likes]]+Table1_1[[#This Row],[Shares]]+Table1_1[[#This Row],[Comments]])/Table1_1[[#This Row],[Impressions]])*100</f>
        <v>9.4450189589796612</v>
      </c>
      <c r="J349" s="3" t="s">
        <v>24</v>
      </c>
    </row>
    <row r="350" spans="1:10" x14ac:dyDescent="0.3">
      <c r="A350" s="1" t="s">
        <v>235</v>
      </c>
      <c r="B350" s="1" t="s">
        <v>15</v>
      </c>
      <c r="C350" s="2">
        <v>45579</v>
      </c>
      <c r="D350" s="1" t="s">
        <v>16</v>
      </c>
      <c r="E350" s="1">
        <v>4303</v>
      </c>
      <c r="F350" s="1">
        <v>306</v>
      </c>
      <c r="G350" s="1">
        <v>302</v>
      </c>
      <c r="H350" s="1">
        <v>39575</v>
      </c>
      <c r="I350" s="4">
        <f>((Table1_1[[#This Row],[Likes]]+Table1_1[[#This Row],[Shares]]+Table1_1[[#This Row],[Comments]])/Table1_1[[#This Row],[Impressions]])*100</f>
        <v>12.409349336702464</v>
      </c>
      <c r="J350" s="3" t="s">
        <v>13</v>
      </c>
    </row>
    <row r="351" spans="1:10" x14ac:dyDescent="0.3">
      <c r="A351" s="1" t="s">
        <v>235</v>
      </c>
      <c r="B351" s="1" t="s">
        <v>15</v>
      </c>
      <c r="C351" s="2">
        <v>45579</v>
      </c>
      <c r="D351" s="1" t="s">
        <v>16</v>
      </c>
      <c r="E351" s="1">
        <v>4303</v>
      </c>
      <c r="F351" s="1">
        <v>306</v>
      </c>
      <c r="G351" s="1">
        <v>302</v>
      </c>
      <c r="H351" s="1">
        <v>39575</v>
      </c>
      <c r="I351" s="4">
        <f>((Table1_1[[#This Row],[Likes]]+Table1_1[[#This Row],[Shares]]+Table1_1[[#This Row],[Comments]])/Table1_1[[#This Row],[Impressions]])*100</f>
        <v>12.409349336702464</v>
      </c>
      <c r="J351" s="3" t="s">
        <v>319</v>
      </c>
    </row>
    <row r="352" spans="1:10" x14ac:dyDescent="0.3">
      <c r="A352" s="1" t="s">
        <v>236</v>
      </c>
      <c r="B352" s="1" t="s">
        <v>15</v>
      </c>
      <c r="C352" s="2">
        <v>45332</v>
      </c>
      <c r="D352" s="1" t="s">
        <v>11</v>
      </c>
      <c r="E352" s="1">
        <v>1519</v>
      </c>
      <c r="F352" s="1">
        <v>456</v>
      </c>
      <c r="G352" s="1">
        <v>379</v>
      </c>
      <c r="H352" s="1">
        <v>51611</v>
      </c>
      <c r="I352" s="4">
        <f>((Table1_1[[#This Row],[Likes]]+Table1_1[[#This Row],[Shares]]+Table1_1[[#This Row],[Comments]])/Table1_1[[#This Row],[Impressions]])*100</f>
        <v>4.5610431884675746</v>
      </c>
      <c r="J352" s="3" t="s">
        <v>27</v>
      </c>
    </row>
    <row r="353" spans="1:10" x14ac:dyDescent="0.3">
      <c r="A353" s="1" t="s">
        <v>237</v>
      </c>
      <c r="B353" s="1" t="s">
        <v>19</v>
      </c>
      <c r="C353" s="2">
        <v>45636</v>
      </c>
      <c r="D353" s="1" t="s">
        <v>11</v>
      </c>
      <c r="E353" s="1">
        <v>2569</v>
      </c>
      <c r="F353" s="1">
        <v>140</v>
      </c>
      <c r="G353" s="1">
        <v>375</v>
      </c>
      <c r="H353" s="1">
        <v>38372</v>
      </c>
      <c r="I353" s="4">
        <f>((Table1_1[[#This Row],[Likes]]+Table1_1[[#This Row],[Shares]]+Table1_1[[#This Row],[Comments]])/Table1_1[[#This Row],[Impressions]])*100</f>
        <v>8.0371103929948919</v>
      </c>
      <c r="J353" s="3" t="s">
        <v>13</v>
      </c>
    </row>
    <row r="354" spans="1:10" x14ac:dyDescent="0.3">
      <c r="A354" s="1" t="s">
        <v>237</v>
      </c>
      <c r="B354" s="1" t="s">
        <v>19</v>
      </c>
      <c r="C354" s="2">
        <v>45636</v>
      </c>
      <c r="D354" s="1" t="s">
        <v>11</v>
      </c>
      <c r="E354" s="1">
        <v>2569</v>
      </c>
      <c r="F354" s="1">
        <v>140</v>
      </c>
      <c r="G354" s="1">
        <v>375</v>
      </c>
      <c r="H354" s="1">
        <v>38372</v>
      </c>
      <c r="I354" s="4">
        <f>((Table1_1[[#This Row],[Likes]]+Table1_1[[#This Row],[Shares]]+Table1_1[[#This Row],[Comments]])/Table1_1[[#This Row],[Impressions]])*100</f>
        <v>8.0371103929948919</v>
      </c>
      <c r="J354" s="3" t="s">
        <v>320</v>
      </c>
    </row>
    <row r="355" spans="1:10" x14ac:dyDescent="0.3">
      <c r="A355" s="1" t="s">
        <v>238</v>
      </c>
      <c r="B355" s="1" t="s">
        <v>15</v>
      </c>
      <c r="C355" s="2">
        <v>45786</v>
      </c>
      <c r="D355" s="1" t="s">
        <v>16</v>
      </c>
      <c r="E355" s="1">
        <v>2778</v>
      </c>
      <c r="F355" s="1">
        <v>241</v>
      </c>
      <c r="G355" s="1">
        <v>317</v>
      </c>
      <c r="H355" s="1">
        <v>26247</v>
      </c>
      <c r="I355" s="4">
        <f>((Table1_1[[#This Row],[Likes]]+Table1_1[[#This Row],[Shares]]+Table1_1[[#This Row],[Comments]])/Table1_1[[#This Row],[Impressions]])*100</f>
        <v>12.71002400274317</v>
      </c>
      <c r="J355" s="3" t="s">
        <v>319</v>
      </c>
    </row>
    <row r="356" spans="1:10" x14ac:dyDescent="0.3">
      <c r="A356" s="1" t="s">
        <v>238</v>
      </c>
      <c r="B356" s="1" t="s">
        <v>15</v>
      </c>
      <c r="C356" s="2">
        <v>45786</v>
      </c>
      <c r="D356" s="1" t="s">
        <v>16</v>
      </c>
      <c r="E356" s="1">
        <v>2778</v>
      </c>
      <c r="F356" s="1">
        <v>241</v>
      </c>
      <c r="G356" s="1">
        <v>317</v>
      </c>
      <c r="H356" s="1">
        <v>26247</v>
      </c>
      <c r="I356" s="4">
        <f>((Table1_1[[#This Row],[Likes]]+Table1_1[[#This Row],[Shares]]+Table1_1[[#This Row],[Comments]])/Table1_1[[#This Row],[Impressions]])*100</f>
        <v>12.71002400274317</v>
      </c>
      <c r="J356" s="3" t="s">
        <v>24</v>
      </c>
    </row>
    <row r="357" spans="1:10" x14ac:dyDescent="0.3">
      <c r="A357" s="1" t="s">
        <v>239</v>
      </c>
      <c r="B357" s="1" t="s">
        <v>15</v>
      </c>
      <c r="C357" s="2">
        <v>45829</v>
      </c>
      <c r="D357" s="1" t="s">
        <v>11</v>
      </c>
      <c r="E357" s="1">
        <v>3611</v>
      </c>
      <c r="F357" s="1">
        <v>127</v>
      </c>
      <c r="G357" s="1">
        <v>139</v>
      </c>
      <c r="H357" s="1">
        <v>44768</v>
      </c>
      <c r="I357" s="4">
        <f>((Table1_1[[#This Row],[Likes]]+Table1_1[[#This Row],[Shares]]+Table1_1[[#This Row],[Comments]])/Table1_1[[#This Row],[Impressions]])*100</f>
        <v>8.6602037169406714</v>
      </c>
      <c r="J357" s="3" t="s">
        <v>24</v>
      </c>
    </row>
    <row r="358" spans="1:10" x14ac:dyDescent="0.3">
      <c r="A358" s="1" t="s">
        <v>240</v>
      </c>
      <c r="B358" s="1" t="s">
        <v>15</v>
      </c>
      <c r="C358" s="2">
        <v>45462</v>
      </c>
      <c r="D358" s="1" t="s">
        <v>11</v>
      </c>
      <c r="E358" s="1">
        <v>1224</v>
      </c>
      <c r="F358" s="1">
        <v>168</v>
      </c>
      <c r="G358" s="1">
        <v>199</v>
      </c>
      <c r="H358" s="1">
        <v>54232</v>
      </c>
      <c r="I358" s="4">
        <f>((Table1_1[[#This Row],[Likes]]+Table1_1[[#This Row],[Shares]]+Table1_1[[#This Row],[Comments]])/Table1_1[[#This Row],[Impressions]])*100</f>
        <v>2.9336922849977873</v>
      </c>
      <c r="J358" s="3" t="s">
        <v>27</v>
      </c>
    </row>
    <row r="359" spans="1:10" x14ac:dyDescent="0.3">
      <c r="A359" s="1" t="s">
        <v>241</v>
      </c>
      <c r="B359" s="1" t="s">
        <v>15</v>
      </c>
      <c r="C359" s="2">
        <v>45636</v>
      </c>
      <c r="D359" s="1" t="s">
        <v>11</v>
      </c>
      <c r="E359" s="1">
        <v>4673</v>
      </c>
      <c r="F359" s="1">
        <v>270</v>
      </c>
      <c r="G359" s="1">
        <v>93</v>
      </c>
      <c r="H359" s="1">
        <v>45260</v>
      </c>
      <c r="I359" s="4">
        <f>((Table1_1[[#This Row],[Likes]]+Table1_1[[#This Row],[Shares]]+Table1_1[[#This Row],[Comments]])/Table1_1[[#This Row],[Impressions]])*100</f>
        <v>11.126822801590809</v>
      </c>
      <c r="J359" s="3" t="s">
        <v>24</v>
      </c>
    </row>
    <row r="360" spans="1:10" x14ac:dyDescent="0.3">
      <c r="A360" s="1" t="s">
        <v>242</v>
      </c>
      <c r="B360" s="1" t="s">
        <v>19</v>
      </c>
      <c r="C360" s="2">
        <v>45323</v>
      </c>
      <c r="D360" s="1" t="s">
        <v>11</v>
      </c>
      <c r="E360" s="1">
        <v>1432</v>
      </c>
      <c r="F360" s="1">
        <v>437</v>
      </c>
      <c r="G360" s="1">
        <v>267</v>
      </c>
      <c r="H360" s="1">
        <v>40634</v>
      </c>
      <c r="I360" s="4">
        <f>((Table1_1[[#This Row],[Likes]]+Table1_1[[#This Row],[Shares]]+Table1_1[[#This Row],[Comments]])/Table1_1[[#This Row],[Impressions]])*100</f>
        <v>5.2566815966924256</v>
      </c>
      <c r="J360" s="3" t="s">
        <v>13</v>
      </c>
    </row>
    <row r="361" spans="1:10" x14ac:dyDescent="0.3">
      <c r="A361" s="1" t="s">
        <v>242</v>
      </c>
      <c r="B361" s="1" t="s">
        <v>19</v>
      </c>
      <c r="C361" s="2">
        <v>45323</v>
      </c>
      <c r="D361" s="1" t="s">
        <v>11</v>
      </c>
      <c r="E361" s="1">
        <v>1432</v>
      </c>
      <c r="F361" s="1">
        <v>437</v>
      </c>
      <c r="G361" s="1">
        <v>267</v>
      </c>
      <c r="H361" s="1">
        <v>40634</v>
      </c>
      <c r="I361" s="4">
        <f>((Table1_1[[#This Row],[Likes]]+Table1_1[[#This Row],[Shares]]+Table1_1[[#This Row],[Comments]])/Table1_1[[#This Row],[Impressions]])*100</f>
        <v>5.2566815966924256</v>
      </c>
      <c r="J361" s="3" t="s">
        <v>320</v>
      </c>
    </row>
    <row r="362" spans="1:10" x14ac:dyDescent="0.3">
      <c r="A362" s="1" t="s">
        <v>243</v>
      </c>
      <c r="B362" s="1" t="s">
        <v>15</v>
      </c>
      <c r="C362" s="2">
        <v>45308</v>
      </c>
      <c r="D362" s="1" t="s">
        <v>16</v>
      </c>
      <c r="E362" s="1">
        <v>2174</v>
      </c>
      <c r="F362" s="1">
        <v>499</v>
      </c>
      <c r="G362" s="1">
        <v>212</v>
      </c>
      <c r="H362" s="1">
        <v>54938</v>
      </c>
      <c r="I362" s="4">
        <f>((Table1_1[[#This Row],[Likes]]+Table1_1[[#This Row],[Shares]]+Table1_1[[#This Row],[Comments]])/Table1_1[[#This Row],[Impressions]])*100</f>
        <v>5.2513742764570974</v>
      </c>
      <c r="J362" s="3" t="s">
        <v>319</v>
      </c>
    </row>
    <row r="363" spans="1:10" x14ac:dyDescent="0.3">
      <c r="A363" s="1" t="s">
        <v>243</v>
      </c>
      <c r="B363" s="1" t="s">
        <v>15</v>
      </c>
      <c r="C363" s="2">
        <v>45308</v>
      </c>
      <c r="D363" s="1" t="s">
        <v>16</v>
      </c>
      <c r="E363" s="1">
        <v>2174</v>
      </c>
      <c r="F363" s="1">
        <v>499</v>
      </c>
      <c r="G363" s="1">
        <v>212</v>
      </c>
      <c r="H363" s="1">
        <v>54938</v>
      </c>
      <c r="I363" s="4">
        <f>((Table1_1[[#This Row],[Likes]]+Table1_1[[#This Row],[Shares]]+Table1_1[[#This Row],[Comments]])/Table1_1[[#This Row],[Impressions]])*100</f>
        <v>5.2513742764570974</v>
      </c>
      <c r="J363" s="3" t="s">
        <v>24</v>
      </c>
    </row>
    <row r="364" spans="1:10" x14ac:dyDescent="0.3">
      <c r="A364" s="1" t="s">
        <v>244</v>
      </c>
      <c r="B364" s="1" t="s">
        <v>19</v>
      </c>
      <c r="C364" s="2">
        <v>45738</v>
      </c>
      <c r="D364" s="1" t="s">
        <v>11</v>
      </c>
      <c r="E364" s="1">
        <v>4308</v>
      </c>
      <c r="F364" s="1">
        <v>171</v>
      </c>
      <c r="G364" s="1">
        <v>106</v>
      </c>
      <c r="H364" s="1">
        <v>36955</v>
      </c>
      <c r="I364" s="4">
        <f>((Table1_1[[#This Row],[Likes]]+Table1_1[[#This Row],[Shares]]+Table1_1[[#This Row],[Comments]])/Table1_1[[#This Row],[Impressions]])*100</f>
        <v>12.406981463942634</v>
      </c>
      <c r="J364" s="3" t="s">
        <v>13</v>
      </c>
    </row>
    <row r="365" spans="1:10" x14ac:dyDescent="0.3">
      <c r="A365" s="1" t="s">
        <v>244</v>
      </c>
      <c r="B365" s="1" t="s">
        <v>19</v>
      </c>
      <c r="C365" s="2">
        <v>45738</v>
      </c>
      <c r="D365" s="1" t="s">
        <v>11</v>
      </c>
      <c r="E365" s="1">
        <v>4308</v>
      </c>
      <c r="F365" s="1">
        <v>171</v>
      </c>
      <c r="G365" s="1">
        <v>106</v>
      </c>
      <c r="H365" s="1">
        <v>36955</v>
      </c>
      <c r="I365" s="4">
        <f>((Table1_1[[#This Row],[Likes]]+Table1_1[[#This Row],[Shares]]+Table1_1[[#This Row],[Comments]])/Table1_1[[#This Row],[Impressions]])*100</f>
        <v>12.406981463942634</v>
      </c>
      <c r="J365" s="3" t="s">
        <v>320</v>
      </c>
    </row>
    <row r="366" spans="1:10" x14ac:dyDescent="0.3">
      <c r="A366" s="1" t="s">
        <v>245</v>
      </c>
      <c r="B366" s="1" t="s">
        <v>19</v>
      </c>
      <c r="C366" s="2">
        <v>45442</v>
      </c>
      <c r="D366" s="1" t="s">
        <v>36</v>
      </c>
      <c r="E366" s="1">
        <v>1060</v>
      </c>
      <c r="F366" s="1">
        <v>442</v>
      </c>
      <c r="G366" s="1">
        <v>319</v>
      </c>
      <c r="H366" s="1">
        <v>57194</v>
      </c>
      <c r="I366" s="4">
        <f>((Table1_1[[#This Row],[Likes]]+Table1_1[[#This Row],[Shares]]+Table1_1[[#This Row],[Comments]])/Table1_1[[#This Row],[Impressions]])*100</f>
        <v>3.1839004091338254</v>
      </c>
      <c r="J366" s="3" t="s">
        <v>13</v>
      </c>
    </row>
    <row r="367" spans="1:10" x14ac:dyDescent="0.3">
      <c r="A367" s="1" t="s">
        <v>245</v>
      </c>
      <c r="B367" s="1" t="s">
        <v>19</v>
      </c>
      <c r="C367" s="2">
        <v>45442</v>
      </c>
      <c r="D367" s="1" t="s">
        <v>36</v>
      </c>
      <c r="E367" s="1">
        <v>1060</v>
      </c>
      <c r="F367" s="1">
        <v>442</v>
      </c>
      <c r="G367" s="1">
        <v>319</v>
      </c>
      <c r="H367" s="1">
        <v>57194</v>
      </c>
      <c r="I367" s="4">
        <f>((Table1_1[[#This Row],[Likes]]+Table1_1[[#This Row],[Shares]]+Table1_1[[#This Row],[Comments]])/Table1_1[[#This Row],[Impressions]])*100</f>
        <v>3.1839004091338254</v>
      </c>
      <c r="J367" s="3" t="s">
        <v>27</v>
      </c>
    </row>
    <row r="368" spans="1:10" x14ac:dyDescent="0.3">
      <c r="A368" s="1" t="s">
        <v>246</v>
      </c>
      <c r="B368" s="1" t="s">
        <v>19</v>
      </c>
      <c r="C368" s="2">
        <v>45346</v>
      </c>
      <c r="D368" s="1" t="s">
        <v>11</v>
      </c>
      <c r="E368" s="1">
        <v>4653</v>
      </c>
      <c r="F368" s="1">
        <v>226</v>
      </c>
      <c r="G368" s="1">
        <v>349</v>
      </c>
      <c r="H368" s="1">
        <v>56876</v>
      </c>
      <c r="I368" s="4">
        <f>((Table1_1[[#This Row],[Likes]]+Table1_1[[#This Row],[Shares]]+Table1_1[[#This Row],[Comments]])/Table1_1[[#This Row],[Impressions]])*100</f>
        <v>9.1919262958013928</v>
      </c>
      <c r="J368" s="3" t="s">
        <v>13</v>
      </c>
    </row>
    <row r="369" spans="1:10" x14ac:dyDescent="0.3">
      <c r="A369" s="1" t="s">
        <v>246</v>
      </c>
      <c r="B369" s="1" t="s">
        <v>19</v>
      </c>
      <c r="C369" s="2">
        <v>45346</v>
      </c>
      <c r="D369" s="1" t="s">
        <v>11</v>
      </c>
      <c r="E369" s="1">
        <v>4653</v>
      </c>
      <c r="F369" s="1">
        <v>226</v>
      </c>
      <c r="G369" s="1">
        <v>349</v>
      </c>
      <c r="H369" s="1">
        <v>56876</v>
      </c>
      <c r="I369" s="4">
        <f>((Table1_1[[#This Row],[Likes]]+Table1_1[[#This Row],[Shares]]+Table1_1[[#This Row],[Comments]])/Table1_1[[#This Row],[Impressions]])*100</f>
        <v>9.1919262958013928</v>
      </c>
      <c r="J369" s="3" t="s">
        <v>320</v>
      </c>
    </row>
    <row r="370" spans="1:10" x14ac:dyDescent="0.3">
      <c r="A370" s="1" t="s">
        <v>247</v>
      </c>
      <c r="B370" s="1" t="s">
        <v>19</v>
      </c>
      <c r="C370" s="2">
        <v>45791</v>
      </c>
      <c r="D370" s="1" t="s">
        <v>11</v>
      </c>
      <c r="E370" s="1">
        <v>1701</v>
      </c>
      <c r="F370" s="1">
        <v>272</v>
      </c>
      <c r="G370" s="1">
        <v>385</v>
      </c>
      <c r="H370" s="1">
        <v>47496</v>
      </c>
      <c r="I370" s="4">
        <f>((Table1_1[[#This Row],[Likes]]+Table1_1[[#This Row],[Shares]]+Table1_1[[#This Row],[Comments]])/Table1_1[[#This Row],[Impressions]])*100</f>
        <v>4.9646286003031834</v>
      </c>
      <c r="J370" s="3" t="s">
        <v>13</v>
      </c>
    </row>
    <row r="371" spans="1:10" x14ac:dyDescent="0.3">
      <c r="A371" s="1" t="s">
        <v>247</v>
      </c>
      <c r="B371" s="1" t="s">
        <v>19</v>
      </c>
      <c r="C371" s="2">
        <v>45791</v>
      </c>
      <c r="D371" s="1" t="s">
        <v>11</v>
      </c>
      <c r="E371" s="1">
        <v>1701</v>
      </c>
      <c r="F371" s="1">
        <v>272</v>
      </c>
      <c r="G371" s="1">
        <v>385</v>
      </c>
      <c r="H371" s="1">
        <v>47496</v>
      </c>
      <c r="I371" s="4">
        <f>((Table1_1[[#This Row],[Likes]]+Table1_1[[#This Row],[Shares]]+Table1_1[[#This Row],[Comments]])/Table1_1[[#This Row],[Impressions]])*100</f>
        <v>4.9646286003031834</v>
      </c>
      <c r="J371" s="3" t="s">
        <v>320</v>
      </c>
    </row>
    <row r="372" spans="1:10" x14ac:dyDescent="0.3">
      <c r="A372" s="1" t="s">
        <v>248</v>
      </c>
      <c r="B372" s="1" t="s">
        <v>10</v>
      </c>
      <c r="C372" s="2">
        <v>45379</v>
      </c>
      <c r="D372" s="1" t="s">
        <v>11</v>
      </c>
      <c r="E372" s="1">
        <v>1673</v>
      </c>
      <c r="F372" s="1">
        <v>280</v>
      </c>
      <c r="G372" s="1">
        <v>67</v>
      </c>
      <c r="H372" s="1">
        <v>29847</v>
      </c>
      <c r="I372" s="4">
        <f>((Table1_1[[#This Row],[Likes]]+Table1_1[[#This Row],[Shares]]+Table1_1[[#This Row],[Comments]])/Table1_1[[#This Row],[Impressions]])*100</f>
        <v>6.7678493650953202</v>
      </c>
      <c r="J372" s="3" t="s">
        <v>27</v>
      </c>
    </row>
    <row r="373" spans="1:10" x14ac:dyDescent="0.3">
      <c r="A373" s="1" t="s">
        <v>248</v>
      </c>
      <c r="B373" s="1" t="s">
        <v>10</v>
      </c>
      <c r="C373" s="2">
        <v>45379</v>
      </c>
      <c r="D373" s="1" t="s">
        <v>11</v>
      </c>
      <c r="E373" s="1">
        <v>1673</v>
      </c>
      <c r="F373" s="1">
        <v>280</v>
      </c>
      <c r="G373" s="1">
        <v>67</v>
      </c>
      <c r="H373" s="1">
        <v>29847</v>
      </c>
      <c r="I373" s="4">
        <f>((Table1_1[[#This Row],[Likes]]+Table1_1[[#This Row],[Shares]]+Table1_1[[#This Row],[Comments]])/Table1_1[[#This Row],[Impressions]])*100</f>
        <v>6.7678493650953202</v>
      </c>
      <c r="J373" s="3" t="s">
        <v>24</v>
      </c>
    </row>
    <row r="374" spans="1:10" x14ac:dyDescent="0.3">
      <c r="A374" s="1" t="s">
        <v>249</v>
      </c>
      <c r="B374" s="1" t="s">
        <v>19</v>
      </c>
      <c r="C374" s="2">
        <v>45723</v>
      </c>
      <c r="D374" s="1" t="s">
        <v>11</v>
      </c>
      <c r="E374" s="1">
        <v>4310</v>
      </c>
      <c r="F374" s="1">
        <v>284</v>
      </c>
      <c r="G374" s="1">
        <v>306</v>
      </c>
      <c r="H374" s="1">
        <v>44606</v>
      </c>
      <c r="I374" s="4">
        <f>((Table1_1[[#This Row],[Likes]]+Table1_1[[#This Row],[Shares]]+Table1_1[[#This Row],[Comments]])/Table1_1[[#This Row],[Impressions]])*100</f>
        <v>10.985069273191947</v>
      </c>
      <c r="J374" s="3" t="s">
        <v>13</v>
      </c>
    </row>
    <row r="375" spans="1:10" x14ac:dyDescent="0.3">
      <c r="A375" s="1" t="s">
        <v>249</v>
      </c>
      <c r="B375" s="1" t="s">
        <v>19</v>
      </c>
      <c r="C375" s="2">
        <v>45723</v>
      </c>
      <c r="D375" s="1" t="s">
        <v>11</v>
      </c>
      <c r="E375" s="1">
        <v>4310</v>
      </c>
      <c r="F375" s="1">
        <v>284</v>
      </c>
      <c r="G375" s="1">
        <v>306</v>
      </c>
      <c r="H375" s="1">
        <v>44606</v>
      </c>
      <c r="I375" s="4">
        <f>((Table1_1[[#This Row],[Likes]]+Table1_1[[#This Row],[Shares]]+Table1_1[[#This Row],[Comments]])/Table1_1[[#This Row],[Impressions]])*100</f>
        <v>10.985069273191947</v>
      </c>
      <c r="J375" s="3" t="s">
        <v>320</v>
      </c>
    </row>
    <row r="376" spans="1:10" x14ac:dyDescent="0.3">
      <c r="A376" s="1" t="s">
        <v>250</v>
      </c>
      <c r="B376" s="1" t="s">
        <v>15</v>
      </c>
      <c r="C376" s="2">
        <v>45585</v>
      </c>
      <c r="D376" s="1" t="s">
        <v>11</v>
      </c>
      <c r="E376" s="1">
        <v>2752</v>
      </c>
      <c r="F376" s="1">
        <v>309</v>
      </c>
      <c r="G376" s="1">
        <v>91</v>
      </c>
      <c r="H376" s="1">
        <v>39038</v>
      </c>
      <c r="I376" s="4">
        <f>((Table1_1[[#This Row],[Likes]]+Table1_1[[#This Row],[Shares]]+Table1_1[[#This Row],[Comments]])/Table1_1[[#This Row],[Impressions]])*100</f>
        <v>8.0741841282852604</v>
      </c>
      <c r="J376" s="3" t="s">
        <v>24</v>
      </c>
    </row>
    <row r="377" spans="1:10" x14ac:dyDescent="0.3">
      <c r="A377" s="1" t="s">
        <v>251</v>
      </c>
      <c r="B377" s="1" t="s">
        <v>15</v>
      </c>
      <c r="C377" s="2">
        <v>45324</v>
      </c>
      <c r="D377" s="1" t="s">
        <v>11</v>
      </c>
      <c r="E377" s="1">
        <v>3818</v>
      </c>
      <c r="F377" s="1">
        <v>115</v>
      </c>
      <c r="G377" s="1">
        <v>286</v>
      </c>
      <c r="H377" s="1">
        <v>25127</v>
      </c>
      <c r="I377" s="4">
        <f>((Table1_1[[#This Row],[Likes]]+Table1_1[[#This Row],[Shares]]+Table1_1[[#This Row],[Comments]])/Table1_1[[#This Row],[Impressions]])*100</f>
        <v>16.790703227603775</v>
      </c>
      <c r="J377" s="3" t="s">
        <v>24</v>
      </c>
    </row>
    <row r="378" spans="1:10" x14ac:dyDescent="0.3">
      <c r="A378" s="1" t="s">
        <v>252</v>
      </c>
      <c r="B378" s="1" t="s">
        <v>19</v>
      </c>
      <c r="C378" s="2">
        <v>45542</v>
      </c>
      <c r="D378" s="1" t="s">
        <v>11</v>
      </c>
      <c r="E378" s="1">
        <v>2101</v>
      </c>
      <c r="F378" s="1">
        <v>411</v>
      </c>
      <c r="G378" s="1">
        <v>190</v>
      </c>
      <c r="H378" s="1">
        <v>41791</v>
      </c>
      <c r="I378" s="4">
        <f>((Table1_1[[#This Row],[Likes]]+Table1_1[[#This Row],[Shares]]+Table1_1[[#This Row],[Comments]])/Table1_1[[#This Row],[Impressions]])*100</f>
        <v>6.4655069273288515</v>
      </c>
      <c r="J378" s="3" t="s">
        <v>13</v>
      </c>
    </row>
    <row r="379" spans="1:10" x14ac:dyDescent="0.3">
      <c r="A379" s="1" t="s">
        <v>252</v>
      </c>
      <c r="B379" s="1" t="s">
        <v>19</v>
      </c>
      <c r="C379" s="2">
        <v>45542</v>
      </c>
      <c r="D379" s="1" t="s">
        <v>11</v>
      </c>
      <c r="E379" s="1">
        <v>2101</v>
      </c>
      <c r="F379" s="1">
        <v>411</v>
      </c>
      <c r="G379" s="1">
        <v>190</v>
      </c>
      <c r="H379" s="1">
        <v>41791</v>
      </c>
      <c r="I379" s="4">
        <f>((Table1_1[[#This Row],[Likes]]+Table1_1[[#This Row],[Shares]]+Table1_1[[#This Row],[Comments]])/Table1_1[[#This Row],[Impressions]])*100</f>
        <v>6.4655069273288515</v>
      </c>
      <c r="J379" s="3" t="s">
        <v>320</v>
      </c>
    </row>
    <row r="380" spans="1:10" x14ac:dyDescent="0.3">
      <c r="A380" s="1" t="s">
        <v>253</v>
      </c>
      <c r="B380" s="1" t="s">
        <v>10</v>
      </c>
      <c r="C380" s="2">
        <v>45646</v>
      </c>
      <c r="D380" s="1" t="s">
        <v>11</v>
      </c>
      <c r="E380" s="1">
        <v>2519</v>
      </c>
      <c r="F380" s="1">
        <v>202</v>
      </c>
      <c r="G380" s="1">
        <v>239</v>
      </c>
      <c r="H380" s="1">
        <v>36245</v>
      </c>
      <c r="I380" s="4">
        <f>((Table1_1[[#This Row],[Likes]]+Table1_1[[#This Row],[Shares]]+Table1_1[[#This Row],[Comments]])/Table1_1[[#This Row],[Impressions]])*100</f>
        <v>8.166643674989654</v>
      </c>
      <c r="J380" s="3" t="s">
        <v>13</v>
      </c>
    </row>
    <row r="381" spans="1:10" x14ac:dyDescent="0.3">
      <c r="A381" s="1" t="s">
        <v>254</v>
      </c>
      <c r="B381" s="1" t="s">
        <v>19</v>
      </c>
      <c r="C381" s="2">
        <v>45305</v>
      </c>
      <c r="D381" s="1" t="s">
        <v>11</v>
      </c>
      <c r="E381" s="1">
        <v>4502</v>
      </c>
      <c r="F381" s="1">
        <v>238</v>
      </c>
      <c r="G381" s="1">
        <v>386</v>
      </c>
      <c r="H381" s="1">
        <v>39198</v>
      </c>
      <c r="I381" s="4">
        <f>((Table1_1[[#This Row],[Likes]]+Table1_1[[#This Row],[Shares]]+Table1_1[[#This Row],[Comments]])/Table1_1[[#This Row],[Impressions]])*100</f>
        <v>13.077197816215113</v>
      </c>
      <c r="J381" s="3" t="s">
        <v>13</v>
      </c>
    </row>
    <row r="382" spans="1:10" x14ac:dyDescent="0.3">
      <c r="A382" s="1" t="s">
        <v>254</v>
      </c>
      <c r="B382" s="1" t="s">
        <v>19</v>
      </c>
      <c r="C382" s="2">
        <v>45305</v>
      </c>
      <c r="D382" s="1" t="s">
        <v>11</v>
      </c>
      <c r="E382" s="1">
        <v>4502</v>
      </c>
      <c r="F382" s="1">
        <v>238</v>
      </c>
      <c r="G382" s="1">
        <v>386</v>
      </c>
      <c r="H382" s="1">
        <v>39198</v>
      </c>
      <c r="I382" s="4">
        <f>((Table1_1[[#This Row],[Likes]]+Table1_1[[#This Row],[Shares]]+Table1_1[[#This Row],[Comments]])/Table1_1[[#This Row],[Impressions]])*100</f>
        <v>13.077197816215113</v>
      </c>
      <c r="J382" s="3" t="s">
        <v>320</v>
      </c>
    </row>
    <row r="383" spans="1:10" x14ac:dyDescent="0.3">
      <c r="A383" s="1" t="s">
        <v>255</v>
      </c>
      <c r="B383" s="1" t="s">
        <v>10</v>
      </c>
      <c r="C383" s="2">
        <v>45823</v>
      </c>
      <c r="D383" s="1" t="s">
        <v>11</v>
      </c>
      <c r="E383" s="1">
        <v>2478</v>
      </c>
      <c r="F383" s="1">
        <v>427</v>
      </c>
      <c r="G383" s="1">
        <v>242</v>
      </c>
      <c r="H383" s="1">
        <v>59272</v>
      </c>
      <c r="I383" s="4">
        <f>((Table1_1[[#This Row],[Likes]]+Table1_1[[#This Row],[Shares]]+Table1_1[[#This Row],[Comments]])/Table1_1[[#This Row],[Impressions]])*100</f>
        <v>5.3094209744904841</v>
      </c>
      <c r="J383" s="3" t="s">
        <v>27</v>
      </c>
    </row>
    <row r="384" spans="1:10" x14ac:dyDescent="0.3">
      <c r="A384" s="1" t="s">
        <v>255</v>
      </c>
      <c r="B384" s="1" t="s">
        <v>10</v>
      </c>
      <c r="C384" s="2">
        <v>45823</v>
      </c>
      <c r="D384" s="1" t="s">
        <v>11</v>
      </c>
      <c r="E384" s="1">
        <v>2478</v>
      </c>
      <c r="F384" s="1">
        <v>427</v>
      </c>
      <c r="G384" s="1">
        <v>242</v>
      </c>
      <c r="H384" s="1">
        <v>59272</v>
      </c>
      <c r="I384" s="4">
        <f>((Table1_1[[#This Row],[Likes]]+Table1_1[[#This Row],[Shares]]+Table1_1[[#This Row],[Comments]])/Table1_1[[#This Row],[Impressions]])*100</f>
        <v>5.3094209744904841</v>
      </c>
      <c r="J384" s="3" t="s">
        <v>24</v>
      </c>
    </row>
    <row r="385" spans="1:10" x14ac:dyDescent="0.3">
      <c r="A385" s="1" t="s">
        <v>256</v>
      </c>
      <c r="B385" s="1" t="s">
        <v>15</v>
      </c>
      <c r="C385" s="2">
        <v>45639</v>
      </c>
      <c r="D385" s="1" t="s">
        <v>16</v>
      </c>
      <c r="E385" s="1">
        <v>4984</v>
      </c>
      <c r="F385" s="1">
        <v>300</v>
      </c>
      <c r="G385" s="1">
        <v>338</v>
      </c>
      <c r="H385" s="1">
        <v>32900</v>
      </c>
      <c r="I385" s="4">
        <f>((Table1_1[[#This Row],[Likes]]+Table1_1[[#This Row],[Shares]]+Table1_1[[#This Row],[Comments]])/Table1_1[[#This Row],[Impressions]])*100</f>
        <v>17.088145896656535</v>
      </c>
      <c r="J385" s="3" t="s">
        <v>319</v>
      </c>
    </row>
    <row r="386" spans="1:10" x14ac:dyDescent="0.3">
      <c r="A386" s="1" t="s">
        <v>256</v>
      </c>
      <c r="B386" s="1" t="s">
        <v>15</v>
      </c>
      <c r="C386" s="2">
        <v>45639</v>
      </c>
      <c r="D386" s="1" t="s">
        <v>16</v>
      </c>
      <c r="E386" s="1">
        <v>4984</v>
      </c>
      <c r="F386" s="1">
        <v>300</v>
      </c>
      <c r="G386" s="1">
        <v>338</v>
      </c>
      <c r="H386" s="1">
        <v>32900</v>
      </c>
      <c r="I386" s="4">
        <f>((Table1_1[[#This Row],[Likes]]+Table1_1[[#This Row],[Shares]]+Table1_1[[#This Row],[Comments]])/Table1_1[[#This Row],[Impressions]])*100</f>
        <v>17.088145896656535</v>
      </c>
      <c r="J386" s="3" t="s">
        <v>24</v>
      </c>
    </row>
    <row r="387" spans="1:10" x14ac:dyDescent="0.3">
      <c r="A387" s="1" t="s">
        <v>257</v>
      </c>
      <c r="B387" s="1" t="s">
        <v>19</v>
      </c>
      <c r="C387" s="2">
        <v>45533</v>
      </c>
      <c r="D387" s="1" t="s">
        <v>11</v>
      </c>
      <c r="E387" s="1">
        <v>4774</v>
      </c>
      <c r="F387" s="1">
        <v>389</v>
      </c>
      <c r="G387" s="1">
        <v>358</v>
      </c>
      <c r="H387" s="1">
        <v>52346</v>
      </c>
      <c r="I387" s="4">
        <f>((Table1_1[[#This Row],[Likes]]+Table1_1[[#This Row],[Shares]]+Table1_1[[#This Row],[Comments]])/Table1_1[[#This Row],[Impressions]])*100</f>
        <v>10.547128720437092</v>
      </c>
      <c r="J387" s="3" t="s">
        <v>13</v>
      </c>
    </row>
    <row r="388" spans="1:10" x14ac:dyDescent="0.3">
      <c r="A388" s="1" t="s">
        <v>257</v>
      </c>
      <c r="B388" s="1" t="s">
        <v>19</v>
      </c>
      <c r="C388" s="2">
        <v>45533</v>
      </c>
      <c r="D388" s="1" t="s">
        <v>11</v>
      </c>
      <c r="E388" s="1">
        <v>4774</v>
      </c>
      <c r="F388" s="1">
        <v>389</v>
      </c>
      <c r="G388" s="1">
        <v>358</v>
      </c>
      <c r="H388" s="1">
        <v>52346</v>
      </c>
      <c r="I388" s="4">
        <f>((Table1_1[[#This Row],[Likes]]+Table1_1[[#This Row],[Shares]]+Table1_1[[#This Row],[Comments]])/Table1_1[[#This Row],[Impressions]])*100</f>
        <v>10.547128720437092</v>
      </c>
      <c r="J388" s="3" t="s">
        <v>320</v>
      </c>
    </row>
    <row r="389" spans="1:10" x14ac:dyDescent="0.3">
      <c r="A389" s="1" t="s">
        <v>258</v>
      </c>
      <c r="B389" s="1" t="s">
        <v>15</v>
      </c>
      <c r="C389" s="2">
        <v>45550</v>
      </c>
      <c r="D389" s="1" t="s">
        <v>11</v>
      </c>
      <c r="E389" s="1">
        <v>2145</v>
      </c>
      <c r="F389" s="1">
        <v>340</v>
      </c>
      <c r="G389" s="1">
        <v>85</v>
      </c>
      <c r="H389" s="1">
        <v>53323</v>
      </c>
      <c r="I389" s="4">
        <f>((Table1_1[[#This Row],[Likes]]+Table1_1[[#This Row],[Shares]]+Table1_1[[#This Row],[Comments]])/Table1_1[[#This Row],[Impressions]])*100</f>
        <v>4.8196838137389122</v>
      </c>
      <c r="J389" s="3" t="s">
        <v>24</v>
      </c>
    </row>
    <row r="390" spans="1:10" x14ac:dyDescent="0.3">
      <c r="A390" s="1" t="s">
        <v>259</v>
      </c>
      <c r="B390" s="1" t="s">
        <v>15</v>
      </c>
      <c r="C390" s="2">
        <v>45759</v>
      </c>
      <c r="D390" s="1" t="s">
        <v>16</v>
      </c>
      <c r="E390" s="1">
        <v>4315</v>
      </c>
      <c r="F390" s="1">
        <v>208</v>
      </c>
      <c r="G390" s="1">
        <v>273</v>
      </c>
      <c r="H390" s="1">
        <v>35780</v>
      </c>
      <c r="I390" s="4">
        <f>((Table1_1[[#This Row],[Likes]]+Table1_1[[#This Row],[Shares]]+Table1_1[[#This Row],[Comments]])/Table1_1[[#This Row],[Impressions]])*100</f>
        <v>13.404136389044158</v>
      </c>
      <c r="J390" s="3" t="s">
        <v>13</v>
      </c>
    </row>
    <row r="391" spans="1:10" x14ac:dyDescent="0.3">
      <c r="A391" s="1" t="s">
        <v>259</v>
      </c>
      <c r="B391" s="1" t="s">
        <v>15</v>
      </c>
      <c r="C391" s="2">
        <v>45759</v>
      </c>
      <c r="D391" s="1" t="s">
        <v>16</v>
      </c>
      <c r="E391" s="1">
        <v>4315</v>
      </c>
      <c r="F391" s="1">
        <v>208</v>
      </c>
      <c r="G391" s="1">
        <v>273</v>
      </c>
      <c r="H391" s="1">
        <v>35780</v>
      </c>
      <c r="I391" s="4">
        <f>((Table1_1[[#This Row],[Likes]]+Table1_1[[#This Row],[Shares]]+Table1_1[[#This Row],[Comments]])/Table1_1[[#This Row],[Impressions]])*100</f>
        <v>13.404136389044158</v>
      </c>
      <c r="J391" s="3" t="s">
        <v>319</v>
      </c>
    </row>
    <row r="392" spans="1:10" x14ac:dyDescent="0.3">
      <c r="A392" s="1" t="s">
        <v>260</v>
      </c>
      <c r="B392" s="1" t="s">
        <v>15</v>
      </c>
      <c r="C392" s="2">
        <v>45636</v>
      </c>
      <c r="D392" s="1" t="s">
        <v>16</v>
      </c>
      <c r="E392" s="1">
        <v>2267</v>
      </c>
      <c r="F392" s="1">
        <v>230</v>
      </c>
      <c r="G392" s="1">
        <v>243</v>
      </c>
      <c r="H392" s="1">
        <v>27904</v>
      </c>
      <c r="I392" s="4">
        <f>((Table1_1[[#This Row],[Likes]]+Table1_1[[#This Row],[Shares]]+Table1_1[[#This Row],[Comments]])/Table1_1[[#This Row],[Impressions]])*100</f>
        <v>9.8193807339449553</v>
      </c>
      <c r="J392" s="3" t="s">
        <v>13</v>
      </c>
    </row>
    <row r="393" spans="1:10" x14ac:dyDescent="0.3">
      <c r="A393" s="1" t="s">
        <v>260</v>
      </c>
      <c r="B393" s="1" t="s">
        <v>15</v>
      </c>
      <c r="C393" s="2">
        <v>45636</v>
      </c>
      <c r="D393" s="1" t="s">
        <v>16</v>
      </c>
      <c r="E393" s="1">
        <v>2267</v>
      </c>
      <c r="F393" s="1">
        <v>230</v>
      </c>
      <c r="G393" s="1">
        <v>243</v>
      </c>
      <c r="H393" s="1">
        <v>27904</v>
      </c>
      <c r="I393" s="4">
        <f>((Table1_1[[#This Row],[Likes]]+Table1_1[[#This Row],[Shares]]+Table1_1[[#This Row],[Comments]])/Table1_1[[#This Row],[Impressions]])*100</f>
        <v>9.8193807339449553</v>
      </c>
      <c r="J393" s="3" t="s">
        <v>319</v>
      </c>
    </row>
    <row r="394" spans="1:10" x14ac:dyDescent="0.3">
      <c r="A394" s="1" t="s">
        <v>261</v>
      </c>
      <c r="B394" s="1" t="s">
        <v>19</v>
      </c>
      <c r="C394" s="2">
        <v>45816</v>
      </c>
      <c r="D394" s="1" t="s">
        <v>11</v>
      </c>
      <c r="E394" s="1">
        <v>4375</v>
      </c>
      <c r="F394" s="1">
        <v>303</v>
      </c>
      <c r="G394" s="1">
        <v>294</v>
      </c>
      <c r="H394" s="1">
        <v>57468</v>
      </c>
      <c r="I394" s="4">
        <f>((Table1_1[[#This Row],[Likes]]+Table1_1[[#This Row],[Shares]]+Table1_1[[#This Row],[Comments]])/Table1_1[[#This Row],[Impressions]])*100</f>
        <v>8.6517714206166918</v>
      </c>
      <c r="J394" s="3" t="s">
        <v>13</v>
      </c>
    </row>
    <row r="395" spans="1:10" x14ac:dyDescent="0.3">
      <c r="A395" s="1" t="s">
        <v>261</v>
      </c>
      <c r="B395" s="1" t="s">
        <v>19</v>
      </c>
      <c r="C395" s="2">
        <v>45816</v>
      </c>
      <c r="D395" s="1" t="s">
        <v>11</v>
      </c>
      <c r="E395" s="1">
        <v>4375</v>
      </c>
      <c r="F395" s="1">
        <v>303</v>
      </c>
      <c r="G395" s="1">
        <v>294</v>
      </c>
      <c r="H395" s="1">
        <v>57468</v>
      </c>
      <c r="I395" s="4">
        <f>((Table1_1[[#This Row],[Likes]]+Table1_1[[#This Row],[Shares]]+Table1_1[[#This Row],[Comments]])/Table1_1[[#This Row],[Impressions]])*100</f>
        <v>8.6517714206166918</v>
      </c>
      <c r="J395" s="3" t="s">
        <v>320</v>
      </c>
    </row>
    <row r="396" spans="1:10" x14ac:dyDescent="0.3">
      <c r="A396" s="1" t="s">
        <v>262</v>
      </c>
      <c r="B396" s="1" t="s">
        <v>15</v>
      </c>
      <c r="C396" s="2">
        <v>45666</v>
      </c>
      <c r="D396" s="1" t="s">
        <v>16</v>
      </c>
      <c r="E396" s="1">
        <v>3817</v>
      </c>
      <c r="F396" s="1">
        <v>284</v>
      </c>
      <c r="G396" s="1">
        <v>204</v>
      </c>
      <c r="H396" s="1">
        <v>46434</v>
      </c>
      <c r="I396" s="4">
        <f>((Table1_1[[#This Row],[Likes]]+Table1_1[[#This Row],[Shares]]+Table1_1[[#This Row],[Comments]])/Table1_1[[#This Row],[Impressions]])*100</f>
        <v>9.271223672309084</v>
      </c>
      <c r="J396" s="3" t="s">
        <v>319</v>
      </c>
    </row>
    <row r="397" spans="1:10" x14ac:dyDescent="0.3">
      <c r="A397" s="1" t="s">
        <v>262</v>
      </c>
      <c r="B397" s="1" t="s">
        <v>15</v>
      </c>
      <c r="C397" s="2">
        <v>45666</v>
      </c>
      <c r="D397" s="1" t="s">
        <v>16</v>
      </c>
      <c r="E397" s="1">
        <v>3817</v>
      </c>
      <c r="F397" s="1">
        <v>284</v>
      </c>
      <c r="G397" s="1">
        <v>204</v>
      </c>
      <c r="H397" s="1">
        <v>46434</v>
      </c>
      <c r="I397" s="4">
        <f>((Table1_1[[#This Row],[Likes]]+Table1_1[[#This Row],[Shares]]+Table1_1[[#This Row],[Comments]])/Table1_1[[#This Row],[Impressions]])*100</f>
        <v>9.271223672309084</v>
      </c>
      <c r="J397" s="3" t="s">
        <v>24</v>
      </c>
    </row>
    <row r="398" spans="1:10" x14ac:dyDescent="0.3">
      <c r="A398" s="1" t="s">
        <v>263</v>
      </c>
      <c r="B398" s="1" t="s">
        <v>15</v>
      </c>
      <c r="C398" s="2">
        <v>45481</v>
      </c>
      <c r="D398" s="1" t="s">
        <v>16</v>
      </c>
      <c r="E398" s="1">
        <v>2981</v>
      </c>
      <c r="F398" s="1">
        <v>258</v>
      </c>
      <c r="G398" s="1">
        <v>168</v>
      </c>
      <c r="H398" s="1">
        <v>20677</v>
      </c>
      <c r="I398" s="4">
        <f>((Table1_1[[#This Row],[Likes]]+Table1_1[[#This Row],[Shares]]+Table1_1[[#This Row],[Comments]])/Table1_1[[#This Row],[Impressions]])*100</f>
        <v>16.477245248343568</v>
      </c>
      <c r="J398" s="3" t="s">
        <v>27</v>
      </c>
    </row>
    <row r="399" spans="1:10" x14ac:dyDescent="0.3">
      <c r="A399" s="1" t="s">
        <v>263</v>
      </c>
      <c r="B399" s="1" t="s">
        <v>15</v>
      </c>
      <c r="C399" s="2">
        <v>45481</v>
      </c>
      <c r="D399" s="1" t="s">
        <v>16</v>
      </c>
      <c r="E399" s="1">
        <v>2981</v>
      </c>
      <c r="F399" s="1">
        <v>258</v>
      </c>
      <c r="G399" s="1">
        <v>168</v>
      </c>
      <c r="H399" s="1">
        <v>20677</v>
      </c>
      <c r="I399" s="4">
        <f>((Table1_1[[#This Row],[Likes]]+Table1_1[[#This Row],[Shares]]+Table1_1[[#This Row],[Comments]])/Table1_1[[#This Row],[Impressions]])*100</f>
        <v>16.477245248343568</v>
      </c>
      <c r="J399" s="3" t="s">
        <v>24</v>
      </c>
    </row>
    <row r="400" spans="1:10" x14ac:dyDescent="0.3">
      <c r="A400" s="1" t="s">
        <v>264</v>
      </c>
      <c r="B400" s="1" t="s">
        <v>15</v>
      </c>
      <c r="C400" s="2">
        <v>45551</v>
      </c>
      <c r="D400" s="1" t="s">
        <v>16</v>
      </c>
      <c r="E400" s="1">
        <v>3300</v>
      </c>
      <c r="F400" s="1">
        <v>354</v>
      </c>
      <c r="G400" s="1">
        <v>397</v>
      </c>
      <c r="H400" s="1">
        <v>56773</v>
      </c>
      <c r="I400" s="4">
        <f>((Table1_1[[#This Row],[Likes]]+Table1_1[[#This Row],[Shares]]+Table1_1[[#This Row],[Comments]])/Table1_1[[#This Row],[Impressions]])*100</f>
        <v>7.1354340971940893</v>
      </c>
      <c r="J400" s="3" t="s">
        <v>13</v>
      </c>
    </row>
    <row r="401" spans="1:10" x14ac:dyDescent="0.3">
      <c r="A401" s="1" t="s">
        <v>264</v>
      </c>
      <c r="B401" s="1" t="s">
        <v>15</v>
      </c>
      <c r="C401" s="2">
        <v>45551</v>
      </c>
      <c r="D401" s="1" t="s">
        <v>16</v>
      </c>
      <c r="E401" s="1">
        <v>3300</v>
      </c>
      <c r="F401" s="1">
        <v>354</v>
      </c>
      <c r="G401" s="1">
        <v>397</v>
      </c>
      <c r="H401" s="1">
        <v>56773</v>
      </c>
      <c r="I401" s="4">
        <f>((Table1_1[[#This Row],[Likes]]+Table1_1[[#This Row],[Shares]]+Table1_1[[#This Row],[Comments]])/Table1_1[[#This Row],[Impressions]])*100</f>
        <v>7.1354340971940893</v>
      </c>
      <c r="J401" s="3" t="s">
        <v>319</v>
      </c>
    </row>
    <row r="402" spans="1:10" x14ac:dyDescent="0.3">
      <c r="A402" s="1" t="s">
        <v>265</v>
      </c>
      <c r="B402" s="1" t="s">
        <v>19</v>
      </c>
      <c r="C402" s="2">
        <v>45457</v>
      </c>
      <c r="D402" s="1" t="s">
        <v>36</v>
      </c>
      <c r="E402" s="1">
        <v>4722</v>
      </c>
      <c r="F402" s="1">
        <v>310</v>
      </c>
      <c r="G402" s="1">
        <v>344</v>
      </c>
      <c r="H402" s="1">
        <v>27911</v>
      </c>
      <c r="I402" s="4">
        <f>((Table1_1[[#This Row],[Likes]]+Table1_1[[#This Row],[Shares]]+Table1_1[[#This Row],[Comments]])/Table1_1[[#This Row],[Impressions]])*100</f>
        <v>19.261223173659133</v>
      </c>
      <c r="J402" s="3" t="s">
        <v>13</v>
      </c>
    </row>
    <row r="403" spans="1:10" x14ac:dyDescent="0.3">
      <c r="A403" s="1" t="s">
        <v>265</v>
      </c>
      <c r="B403" s="1" t="s">
        <v>19</v>
      </c>
      <c r="C403" s="2">
        <v>45457</v>
      </c>
      <c r="D403" s="1" t="s">
        <v>36</v>
      </c>
      <c r="E403" s="1">
        <v>4722</v>
      </c>
      <c r="F403" s="1">
        <v>310</v>
      </c>
      <c r="G403" s="1">
        <v>344</v>
      </c>
      <c r="H403" s="1">
        <v>27911</v>
      </c>
      <c r="I403" s="4">
        <f>((Table1_1[[#This Row],[Likes]]+Table1_1[[#This Row],[Shares]]+Table1_1[[#This Row],[Comments]])/Table1_1[[#This Row],[Impressions]])*100</f>
        <v>19.261223173659133</v>
      </c>
      <c r="J403" s="3" t="s">
        <v>27</v>
      </c>
    </row>
    <row r="404" spans="1:10" x14ac:dyDescent="0.3">
      <c r="A404" s="1" t="s">
        <v>266</v>
      </c>
      <c r="B404" s="1" t="s">
        <v>10</v>
      </c>
      <c r="C404" s="2">
        <v>45357</v>
      </c>
      <c r="D404" s="1" t="s">
        <v>11</v>
      </c>
      <c r="E404" s="1">
        <v>3529</v>
      </c>
      <c r="F404" s="1">
        <v>263</v>
      </c>
      <c r="G404" s="1">
        <v>107</v>
      </c>
      <c r="H404" s="1">
        <v>26570</v>
      </c>
      <c r="I404" s="4">
        <f>((Table1_1[[#This Row],[Likes]]+Table1_1[[#This Row],[Shares]]+Table1_1[[#This Row],[Comments]])/Table1_1[[#This Row],[Impressions]])*100</f>
        <v>14.674444862627023</v>
      </c>
      <c r="J404" s="3" t="s">
        <v>13</v>
      </c>
    </row>
    <row r="405" spans="1:10" x14ac:dyDescent="0.3">
      <c r="A405" s="1" t="s">
        <v>267</v>
      </c>
      <c r="B405" s="1" t="s">
        <v>15</v>
      </c>
      <c r="C405" s="2">
        <v>45792</v>
      </c>
      <c r="D405" s="1" t="s">
        <v>11</v>
      </c>
      <c r="E405" s="1">
        <v>4782</v>
      </c>
      <c r="F405" s="1">
        <v>210</v>
      </c>
      <c r="G405" s="1">
        <v>311</v>
      </c>
      <c r="H405" s="1">
        <v>29793</v>
      </c>
      <c r="I405" s="4">
        <f>((Table1_1[[#This Row],[Likes]]+Table1_1[[#This Row],[Shares]]+Table1_1[[#This Row],[Comments]])/Table1_1[[#This Row],[Impressions]])*100</f>
        <v>17.79948310005706</v>
      </c>
      <c r="J405" s="3" t="s">
        <v>24</v>
      </c>
    </row>
    <row r="406" spans="1:10" x14ac:dyDescent="0.3">
      <c r="A406" s="1" t="s">
        <v>268</v>
      </c>
      <c r="B406" s="1" t="s">
        <v>15</v>
      </c>
      <c r="C406" s="2">
        <v>45480</v>
      </c>
      <c r="D406" s="1" t="s">
        <v>11</v>
      </c>
      <c r="E406" s="1">
        <v>1848</v>
      </c>
      <c r="F406" s="1">
        <v>417</v>
      </c>
      <c r="G406" s="1">
        <v>294</v>
      </c>
      <c r="H406" s="1">
        <v>57819</v>
      </c>
      <c r="I406" s="4">
        <f>((Table1_1[[#This Row],[Likes]]+Table1_1[[#This Row],[Shares]]+Table1_1[[#This Row],[Comments]])/Table1_1[[#This Row],[Impressions]])*100</f>
        <v>4.4258807658382189</v>
      </c>
      <c r="J406" s="3" t="s">
        <v>27</v>
      </c>
    </row>
    <row r="407" spans="1:10" x14ac:dyDescent="0.3">
      <c r="A407" s="1" t="s">
        <v>269</v>
      </c>
      <c r="B407" s="1" t="s">
        <v>19</v>
      </c>
      <c r="C407" s="2">
        <v>45591</v>
      </c>
      <c r="D407" s="1" t="s">
        <v>11</v>
      </c>
      <c r="E407" s="1">
        <v>4676</v>
      </c>
      <c r="F407" s="1">
        <v>211</v>
      </c>
      <c r="G407" s="1">
        <v>55</v>
      </c>
      <c r="H407" s="1">
        <v>45917</v>
      </c>
      <c r="I407" s="4">
        <f>((Table1_1[[#This Row],[Likes]]+Table1_1[[#This Row],[Shares]]+Table1_1[[#This Row],[Comments]])/Table1_1[[#This Row],[Impressions]])*100</f>
        <v>10.762898272970794</v>
      </c>
      <c r="J407" s="3" t="s">
        <v>13</v>
      </c>
    </row>
    <row r="408" spans="1:10" x14ac:dyDescent="0.3">
      <c r="A408" s="1" t="s">
        <v>269</v>
      </c>
      <c r="B408" s="1" t="s">
        <v>19</v>
      </c>
      <c r="C408" s="2">
        <v>45591</v>
      </c>
      <c r="D408" s="1" t="s">
        <v>11</v>
      </c>
      <c r="E408" s="1">
        <v>4676</v>
      </c>
      <c r="F408" s="1">
        <v>211</v>
      </c>
      <c r="G408" s="1">
        <v>55</v>
      </c>
      <c r="H408" s="1">
        <v>45917</v>
      </c>
      <c r="I408" s="4">
        <f>((Table1_1[[#This Row],[Likes]]+Table1_1[[#This Row],[Shares]]+Table1_1[[#This Row],[Comments]])/Table1_1[[#This Row],[Impressions]])*100</f>
        <v>10.762898272970794</v>
      </c>
      <c r="J408" s="3" t="s">
        <v>320</v>
      </c>
    </row>
    <row r="409" spans="1:10" x14ac:dyDescent="0.3">
      <c r="A409" s="1" t="s">
        <v>270</v>
      </c>
      <c r="B409" s="1" t="s">
        <v>19</v>
      </c>
      <c r="C409" s="2">
        <v>45512</v>
      </c>
      <c r="D409" s="1" t="s">
        <v>11</v>
      </c>
      <c r="E409" s="1">
        <v>1994</v>
      </c>
      <c r="F409" s="1">
        <v>197</v>
      </c>
      <c r="G409" s="1">
        <v>290</v>
      </c>
      <c r="H409" s="1">
        <v>49500</v>
      </c>
      <c r="I409" s="4">
        <f>((Table1_1[[#This Row],[Likes]]+Table1_1[[#This Row],[Shares]]+Table1_1[[#This Row],[Comments]])/Table1_1[[#This Row],[Impressions]])*100</f>
        <v>5.0121212121212118</v>
      </c>
      <c r="J409" s="3" t="s">
        <v>13</v>
      </c>
    </row>
    <row r="410" spans="1:10" x14ac:dyDescent="0.3">
      <c r="A410" s="1" t="s">
        <v>270</v>
      </c>
      <c r="B410" s="1" t="s">
        <v>19</v>
      </c>
      <c r="C410" s="2">
        <v>45512</v>
      </c>
      <c r="D410" s="1" t="s">
        <v>11</v>
      </c>
      <c r="E410" s="1">
        <v>1994</v>
      </c>
      <c r="F410" s="1">
        <v>197</v>
      </c>
      <c r="G410" s="1">
        <v>290</v>
      </c>
      <c r="H410" s="1">
        <v>49500</v>
      </c>
      <c r="I410" s="4">
        <f>((Table1_1[[#This Row],[Likes]]+Table1_1[[#This Row],[Shares]]+Table1_1[[#This Row],[Comments]])/Table1_1[[#This Row],[Impressions]])*100</f>
        <v>5.0121212121212118</v>
      </c>
      <c r="J410" s="3" t="s">
        <v>320</v>
      </c>
    </row>
    <row r="411" spans="1:10" x14ac:dyDescent="0.3">
      <c r="A411" s="1" t="s">
        <v>271</v>
      </c>
      <c r="B411" s="1" t="s">
        <v>15</v>
      </c>
      <c r="C411" s="2">
        <v>45691</v>
      </c>
      <c r="D411" s="1" t="s">
        <v>11</v>
      </c>
      <c r="E411" s="1">
        <v>4995</v>
      </c>
      <c r="F411" s="1">
        <v>231</v>
      </c>
      <c r="G411" s="1">
        <v>94</v>
      </c>
      <c r="H411" s="1">
        <v>34431</v>
      </c>
      <c r="I411" s="4">
        <f>((Table1_1[[#This Row],[Likes]]+Table1_1[[#This Row],[Shares]]+Table1_1[[#This Row],[Comments]])/Table1_1[[#This Row],[Impressions]])*100</f>
        <v>15.451192239551567</v>
      </c>
      <c r="J411" s="3" t="s">
        <v>24</v>
      </c>
    </row>
    <row r="412" spans="1:10" x14ac:dyDescent="0.3">
      <c r="A412" s="1" t="s">
        <v>272</v>
      </c>
      <c r="B412" s="1" t="s">
        <v>15</v>
      </c>
      <c r="C412" s="2">
        <v>45385</v>
      </c>
      <c r="D412" s="1" t="s">
        <v>16</v>
      </c>
      <c r="E412" s="1">
        <v>2291</v>
      </c>
      <c r="F412" s="1">
        <v>146</v>
      </c>
      <c r="G412" s="1">
        <v>399</v>
      </c>
      <c r="H412" s="1">
        <v>49319</v>
      </c>
      <c r="I412" s="4">
        <f>((Table1_1[[#This Row],[Likes]]+Table1_1[[#This Row],[Shares]]+Table1_1[[#This Row],[Comments]])/Table1_1[[#This Row],[Impressions]])*100</f>
        <v>5.750319349540745</v>
      </c>
      <c r="J412" s="3" t="s">
        <v>13</v>
      </c>
    </row>
    <row r="413" spans="1:10" x14ac:dyDescent="0.3">
      <c r="A413" s="1" t="s">
        <v>272</v>
      </c>
      <c r="B413" s="1" t="s">
        <v>15</v>
      </c>
      <c r="C413" s="2">
        <v>45385</v>
      </c>
      <c r="D413" s="1" t="s">
        <v>16</v>
      </c>
      <c r="E413" s="1">
        <v>2291</v>
      </c>
      <c r="F413" s="1">
        <v>146</v>
      </c>
      <c r="G413" s="1">
        <v>399</v>
      </c>
      <c r="H413" s="1">
        <v>49319</v>
      </c>
      <c r="I413" s="4">
        <f>((Table1_1[[#This Row],[Likes]]+Table1_1[[#This Row],[Shares]]+Table1_1[[#This Row],[Comments]])/Table1_1[[#This Row],[Impressions]])*100</f>
        <v>5.750319349540745</v>
      </c>
      <c r="J413" s="3" t="s">
        <v>319</v>
      </c>
    </row>
    <row r="414" spans="1:10" x14ac:dyDescent="0.3">
      <c r="A414" s="1" t="s">
        <v>273</v>
      </c>
      <c r="B414" s="1" t="s">
        <v>15</v>
      </c>
      <c r="C414" s="2">
        <v>45481</v>
      </c>
      <c r="D414" s="1" t="s">
        <v>16</v>
      </c>
      <c r="E414" s="1">
        <v>2304</v>
      </c>
      <c r="F414" s="1">
        <v>289</v>
      </c>
      <c r="G414" s="1">
        <v>161</v>
      </c>
      <c r="H414" s="1">
        <v>52645</v>
      </c>
      <c r="I414" s="4">
        <f>((Table1_1[[#This Row],[Likes]]+Table1_1[[#This Row],[Shares]]+Table1_1[[#This Row],[Comments]])/Table1_1[[#This Row],[Impressions]])*100</f>
        <v>5.2312660271630733</v>
      </c>
      <c r="J414" s="3" t="s">
        <v>319</v>
      </c>
    </row>
    <row r="415" spans="1:10" x14ac:dyDescent="0.3">
      <c r="A415" s="1" t="s">
        <v>273</v>
      </c>
      <c r="B415" s="1" t="s">
        <v>15</v>
      </c>
      <c r="C415" s="2">
        <v>45481</v>
      </c>
      <c r="D415" s="1" t="s">
        <v>16</v>
      </c>
      <c r="E415" s="1">
        <v>2304</v>
      </c>
      <c r="F415" s="1">
        <v>289</v>
      </c>
      <c r="G415" s="1">
        <v>161</v>
      </c>
      <c r="H415" s="1">
        <v>52645</v>
      </c>
      <c r="I415" s="4">
        <f>((Table1_1[[#This Row],[Likes]]+Table1_1[[#This Row],[Shares]]+Table1_1[[#This Row],[Comments]])/Table1_1[[#This Row],[Impressions]])*100</f>
        <v>5.2312660271630733</v>
      </c>
      <c r="J415" s="3" t="s">
        <v>24</v>
      </c>
    </row>
    <row r="416" spans="1:10" x14ac:dyDescent="0.3">
      <c r="A416" s="1" t="s">
        <v>274</v>
      </c>
      <c r="B416" s="1" t="s">
        <v>15</v>
      </c>
      <c r="C416" s="2">
        <v>45451</v>
      </c>
      <c r="D416" s="1" t="s">
        <v>16</v>
      </c>
      <c r="E416" s="1">
        <v>3413</v>
      </c>
      <c r="F416" s="1">
        <v>326</v>
      </c>
      <c r="G416" s="1">
        <v>86</v>
      </c>
      <c r="H416" s="1">
        <v>44680</v>
      </c>
      <c r="I416" s="4">
        <f>((Table1_1[[#This Row],[Likes]]+Table1_1[[#This Row],[Shares]]+Table1_1[[#This Row],[Comments]])/Table1_1[[#This Row],[Impressions]])*100</f>
        <v>8.5608773500447626</v>
      </c>
      <c r="J416" s="3" t="s">
        <v>13</v>
      </c>
    </row>
    <row r="417" spans="1:10" x14ac:dyDescent="0.3">
      <c r="A417" s="1" t="s">
        <v>274</v>
      </c>
      <c r="B417" s="1" t="s">
        <v>15</v>
      </c>
      <c r="C417" s="2">
        <v>45451</v>
      </c>
      <c r="D417" s="1" t="s">
        <v>16</v>
      </c>
      <c r="E417" s="1">
        <v>3413</v>
      </c>
      <c r="F417" s="1">
        <v>326</v>
      </c>
      <c r="G417" s="1">
        <v>86</v>
      </c>
      <c r="H417" s="1">
        <v>44680</v>
      </c>
      <c r="I417" s="4">
        <f>((Table1_1[[#This Row],[Likes]]+Table1_1[[#This Row],[Shares]]+Table1_1[[#This Row],[Comments]])/Table1_1[[#This Row],[Impressions]])*100</f>
        <v>8.5608773500447626</v>
      </c>
      <c r="J417" s="3" t="s">
        <v>319</v>
      </c>
    </row>
    <row r="418" spans="1:10" x14ac:dyDescent="0.3">
      <c r="A418" s="1" t="s">
        <v>275</v>
      </c>
      <c r="B418" s="1" t="s">
        <v>19</v>
      </c>
      <c r="C418" s="2">
        <v>45736</v>
      </c>
      <c r="D418" s="1" t="s">
        <v>36</v>
      </c>
      <c r="E418" s="1">
        <v>1453</v>
      </c>
      <c r="F418" s="1">
        <v>156</v>
      </c>
      <c r="G418" s="1">
        <v>178</v>
      </c>
      <c r="H418" s="1">
        <v>52980</v>
      </c>
      <c r="I418" s="4">
        <f>((Table1_1[[#This Row],[Likes]]+Table1_1[[#This Row],[Shares]]+Table1_1[[#This Row],[Comments]])/Table1_1[[#This Row],[Impressions]])*100</f>
        <v>3.3729709324273314</v>
      </c>
      <c r="J418" s="3" t="s">
        <v>13</v>
      </c>
    </row>
    <row r="419" spans="1:10" x14ac:dyDescent="0.3">
      <c r="A419" s="1" t="s">
        <v>275</v>
      </c>
      <c r="B419" s="1" t="s">
        <v>19</v>
      </c>
      <c r="C419" s="2">
        <v>45736</v>
      </c>
      <c r="D419" s="1" t="s">
        <v>36</v>
      </c>
      <c r="E419" s="1">
        <v>1453</v>
      </c>
      <c r="F419" s="1">
        <v>156</v>
      </c>
      <c r="G419" s="1">
        <v>178</v>
      </c>
      <c r="H419" s="1">
        <v>52980</v>
      </c>
      <c r="I419" s="4">
        <f>((Table1_1[[#This Row],[Likes]]+Table1_1[[#This Row],[Shares]]+Table1_1[[#This Row],[Comments]])/Table1_1[[#This Row],[Impressions]])*100</f>
        <v>3.3729709324273314</v>
      </c>
      <c r="J419" s="3" t="s">
        <v>27</v>
      </c>
    </row>
    <row r="420" spans="1:10" x14ac:dyDescent="0.3">
      <c r="A420" s="1" t="s">
        <v>276</v>
      </c>
      <c r="B420" s="1" t="s">
        <v>15</v>
      </c>
      <c r="C420" s="2">
        <v>45676</v>
      </c>
      <c r="D420" s="1" t="s">
        <v>16</v>
      </c>
      <c r="E420" s="1">
        <v>1651</v>
      </c>
      <c r="F420" s="1">
        <v>480</v>
      </c>
      <c r="G420" s="1">
        <v>282</v>
      </c>
      <c r="H420" s="1">
        <v>32140</v>
      </c>
      <c r="I420" s="4">
        <f>((Table1_1[[#This Row],[Likes]]+Table1_1[[#This Row],[Shares]]+Table1_1[[#This Row],[Comments]])/Table1_1[[#This Row],[Impressions]])*100</f>
        <v>7.5077784691972624</v>
      </c>
      <c r="J420" s="3" t="s">
        <v>27</v>
      </c>
    </row>
    <row r="421" spans="1:10" x14ac:dyDescent="0.3">
      <c r="A421" s="1" t="s">
        <v>276</v>
      </c>
      <c r="B421" s="1" t="s">
        <v>15</v>
      </c>
      <c r="C421" s="2">
        <v>45676</v>
      </c>
      <c r="D421" s="1" t="s">
        <v>16</v>
      </c>
      <c r="E421" s="1">
        <v>1651</v>
      </c>
      <c r="F421" s="1">
        <v>480</v>
      </c>
      <c r="G421" s="1">
        <v>282</v>
      </c>
      <c r="H421" s="1">
        <v>32140</v>
      </c>
      <c r="I421" s="4">
        <f>((Table1_1[[#This Row],[Likes]]+Table1_1[[#This Row],[Shares]]+Table1_1[[#This Row],[Comments]])/Table1_1[[#This Row],[Impressions]])*100</f>
        <v>7.5077784691972624</v>
      </c>
      <c r="J421" s="3" t="s">
        <v>24</v>
      </c>
    </row>
    <row r="422" spans="1:10" x14ac:dyDescent="0.3">
      <c r="A422" s="1" t="s">
        <v>277</v>
      </c>
      <c r="B422" s="1" t="s">
        <v>15</v>
      </c>
      <c r="C422" s="2">
        <v>45662</v>
      </c>
      <c r="D422" s="1" t="s">
        <v>16</v>
      </c>
      <c r="E422" s="1">
        <v>3341</v>
      </c>
      <c r="F422" s="1">
        <v>154</v>
      </c>
      <c r="G422" s="1">
        <v>123</v>
      </c>
      <c r="H422" s="1">
        <v>43369</v>
      </c>
      <c r="I422" s="4">
        <f>((Table1_1[[#This Row],[Likes]]+Table1_1[[#This Row],[Shares]]+Table1_1[[#This Row],[Comments]])/Table1_1[[#This Row],[Impressions]])*100</f>
        <v>8.3423643616408025</v>
      </c>
      <c r="J422" s="3" t="s">
        <v>319</v>
      </c>
    </row>
    <row r="423" spans="1:10" x14ac:dyDescent="0.3">
      <c r="A423" s="1" t="s">
        <v>277</v>
      </c>
      <c r="B423" s="1" t="s">
        <v>15</v>
      </c>
      <c r="C423" s="2">
        <v>45662</v>
      </c>
      <c r="D423" s="1" t="s">
        <v>16</v>
      </c>
      <c r="E423" s="1">
        <v>3341</v>
      </c>
      <c r="F423" s="1">
        <v>154</v>
      </c>
      <c r="G423" s="1">
        <v>123</v>
      </c>
      <c r="H423" s="1">
        <v>43369</v>
      </c>
      <c r="I423" s="4">
        <f>((Table1_1[[#This Row],[Likes]]+Table1_1[[#This Row],[Shares]]+Table1_1[[#This Row],[Comments]])/Table1_1[[#This Row],[Impressions]])*100</f>
        <v>8.3423643616408025</v>
      </c>
      <c r="J423" s="3" t="s">
        <v>24</v>
      </c>
    </row>
    <row r="424" spans="1:10" x14ac:dyDescent="0.3">
      <c r="A424" s="1" t="s">
        <v>278</v>
      </c>
      <c r="B424" s="1" t="s">
        <v>15</v>
      </c>
      <c r="C424" s="2">
        <v>45612</v>
      </c>
      <c r="D424" s="1" t="s">
        <v>11</v>
      </c>
      <c r="E424" s="1">
        <v>2972</v>
      </c>
      <c r="F424" s="1">
        <v>263</v>
      </c>
      <c r="G424" s="1">
        <v>308</v>
      </c>
      <c r="H424" s="1">
        <v>51740</v>
      </c>
      <c r="I424" s="4">
        <f>((Table1_1[[#This Row],[Likes]]+Table1_1[[#This Row],[Shares]]+Table1_1[[#This Row],[Comments]])/Table1_1[[#This Row],[Impressions]])*100</f>
        <v>6.8477000386548124</v>
      </c>
      <c r="J424" s="3" t="s">
        <v>27</v>
      </c>
    </row>
    <row r="425" spans="1:10" x14ac:dyDescent="0.3">
      <c r="A425" s="1" t="s">
        <v>279</v>
      </c>
      <c r="B425" s="1" t="s">
        <v>15</v>
      </c>
      <c r="C425" s="2">
        <v>45626</v>
      </c>
      <c r="D425" s="1" t="s">
        <v>16</v>
      </c>
      <c r="E425" s="1">
        <v>4963</v>
      </c>
      <c r="F425" s="1">
        <v>255</v>
      </c>
      <c r="G425" s="1">
        <v>193</v>
      </c>
      <c r="H425" s="1">
        <v>44386</v>
      </c>
      <c r="I425" s="4">
        <f>((Table1_1[[#This Row],[Likes]]+Table1_1[[#This Row],[Shares]]+Table1_1[[#This Row],[Comments]])/Table1_1[[#This Row],[Impressions]])*100</f>
        <v>12.190780876853061</v>
      </c>
      <c r="J425" s="3" t="s">
        <v>319</v>
      </c>
    </row>
    <row r="426" spans="1:10" x14ac:dyDescent="0.3">
      <c r="A426" s="1" t="s">
        <v>279</v>
      </c>
      <c r="B426" s="1" t="s">
        <v>15</v>
      </c>
      <c r="C426" s="2">
        <v>45626</v>
      </c>
      <c r="D426" s="1" t="s">
        <v>16</v>
      </c>
      <c r="E426" s="1">
        <v>4963</v>
      </c>
      <c r="F426" s="1">
        <v>255</v>
      </c>
      <c r="G426" s="1">
        <v>193</v>
      </c>
      <c r="H426" s="1">
        <v>44386</v>
      </c>
      <c r="I426" s="4">
        <f>((Table1_1[[#This Row],[Likes]]+Table1_1[[#This Row],[Shares]]+Table1_1[[#This Row],[Comments]])/Table1_1[[#This Row],[Impressions]])*100</f>
        <v>12.190780876853061</v>
      </c>
      <c r="J426" s="3" t="s">
        <v>24</v>
      </c>
    </row>
    <row r="427" spans="1:10" x14ac:dyDescent="0.3">
      <c r="A427" s="1" t="s">
        <v>280</v>
      </c>
      <c r="B427" s="1" t="s">
        <v>19</v>
      </c>
      <c r="C427" s="2">
        <v>45378</v>
      </c>
      <c r="D427" s="1" t="s">
        <v>11</v>
      </c>
      <c r="E427" s="1">
        <v>2399</v>
      </c>
      <c r="F427" s="1">
        <v>191</v>
      </c>
      <c r="G427" s="1">
        <v>221</v>
      </c>
      <c r="H427" s="1">
        <v>51603</v>
      </c>
      <c r="I427" s="4">
        <f>((Table1_1[[#This Row],[Likes]]+Table1_1[[#This Row],[Shares]]+Table1_1[[#This Row],[Comments]])/Table1_1[[#This Row],[Impressions]])*100</f>
        <v>5.4473577117609437</v>
      </c>
      <c r="J427" s="3" t="s">
        <v>13</v>
      </c>
    </row>
    <row r="428" spans="1:10" x14ac:dyDescent="0.3">
      <c r="A428" s="1" t="s">
        <v>280</v>
      </c>
      <c r="B428" s="1" t="s">
        <v>19</v>
      </c>
      <c r="C428" s="2">
        <v>45378</v>
      </c>
      <c r="D428" s="1" t="s">
        <v>11</v>
      </c>
      <c r="E428" s="1">
        <v>2399</v>
      </c>
      <c r="F428" s="1">
        <v>191</v>
      </c>
      <c r="G428" s="1">
        <v>221</v>
      </c>
      <c r="H428" s="1">
        <v>51603</v>
      </c>
      <c r="I428" s="4">
        <f>((Table1_1[[#This Row],[Likes]]+Table1_1[[#This Row],[Shares]]+Table1_1[[#This Row],[Comments]])/Table1_1[[#This Row],[Impressions]])*100</f>
        <v>5.4473577117609437</v>
      </c>
      <c r="J428" s="3" t="s">
        <v>320</v>
      </c>
    </row>
    <row r="429" spans="1:10" x14ac:dyDescent="0.3">
      <c r="A429" s="1" t="s">
        <v>281</v>
      </c>
      <c r="B429" s="1" t="s">
        <v>19</v>
      </c>
      <c r="C429" s="2">
        <v>45808</v>
      </c>
      <c r="D429" s="1" t="s">
        <v>36</v>
      </c>
      <c r="E429" s="1">
        <v>2162</v>
      </c>
      <c r="F429" s="1">
        <v>318</v>
      </c>
      <c r="G429" s="1">
        <v>83</v>
      </c>
      <c r="H429" s="1">
        <v>46719</v>
      </c>
      <c r="I429" s="4">
        <f>((Table1_1[[#This Row],[Likes]]+Table1_1[[#This Row],[Shares]]+Table1_1[[#This Row],[Comments]])/Table1_1[[#This Row],[Impressions]])*100</f>
        <v>5.4859907104176031</v>
      </c>
      <c r="J429" s="3" t="s">
        <v>13</v>
      </c>
    </row>
    <row r="430" spans="1:10" x14ac:dyDescent="0.3">
      <c r="A430" s="1" t="s">
        <v>281</v>
      </c>
      <c r="B430" s="1" t="s">
        <v>19</v>
      </c>
      <c r="C430" s="2">
        <v>45808</v>
      </c>
      <c r="D430" s="1" t="s">
        <v>36</v>
      </c>
      <c r="E430" s="1">
        <v>2162</v>
      </c>
      <c r="F430" s="1">
        <v>318</v>
      </c>
      <c r="G430" s="1">
        <v>83</v>
      </c>
      <c r="H430" s="1">
        <v>46719</v>
      </c>
      <c r="I430" s="4">
        <f>((Table1_1[[#This Row],[Likes]]+Table1_1[[#This Row],[Shares]]+Table1_1[[#This Row],[Comments]])/Table1_1[[#This Row],[Impressions]])*100</f>
        <v>5.4859907104176031</v>
      </c>
      <c r="J430" s="3" t="s">
        <v>27</v>
      </c>
    </row>
    <row r="431" spans="1:10" x14ac:dyDescent="0.3">
      <c r="A431" s="1" t="s">
        <v>282</v>
      </c>
      <c r="B431" s="1" t="s">
        <v>15</v>
      </c>
      <c r="C431" s="2">
        <v>45825</v>
      </c>
      <c r="D431" s="1" t="s">
        <v>16</v>
      </c>
      <c r="E431" s="1">
        <v>4341</v>
      </c>
      <c r="F431" s="1">
        <v>141</v>
      </c>
      <c r="G431" s="1">
        <v>63</v>
      </c>
      <c r="H431" s="1">
        <v>50081</v>
      </c>
      <c r="I431" s="4">
        <f>((Table1_1[[#This Row],[Likes]]+Table1_1[[#This Row],[Shares]]+Table1_1[[#This Row],[Comments]])/Table1_1[[#This Row],[Impressions]])*100</f>
        <v>9.0752980172121163</v>
      </c>
      <c r="J431" s="3" t="s">
        <v>13</v>
      </c>
    </row>
    <row r="432" spans="1:10" x14ac:dyDescent="0.3">
      <c r="A432" s="1" t="s">
        <v>282</v>
      </c>
      <c r="B432" s="1" t="s">
        <v>15</v>
      </c>
      <c r="C432" s="2">
        <v>45825</v>
      </c>
      <c r="D432" s="1" t="s">
        <v>16</v>
      </c>
      <c r="E432" s="1">
        <v>4341</v>
      </c>
      <c r="F432" s="1">
        <v>141</v>
      </c>
      <c r="G432" s="1">
        <v>63</v>
      </c>
      <c r="H432" s="1">
        <v>50081</v>
      </c>
      <c r="I432" s="4">
        <f>((Table1_1[[#This Row],[Likes]]+Table1_1[[#This Row],[Shares]]+Table1_1[[#This Row],[Comments]])/Table1_1[[#This Row],[Impressions]])*100</f>
        <v>9.0752980172121163</v>
      </c>
      <c r="J432" s="3" t="s">
        <v>319</v>
      </c>
    </row>
    <row r="433" spans="1:10" x14ac:dyDescent="0.3">
      <c r="A433" s="1" t="s">
        <v>283</v>
      </c>
      <c r="B433" s="1" t="s">
        <v>10</v>
      </c>
      <c r="C433" s="2">
        <v>45442</v>
      </c>
      <c r="D433" s="1" t="s">
        <v>16</v>
      </c>
      <c r="E433" s="1">
        <v>2448</v>
      </c>
      <c r="F433" s="1">
        <v>464</v>
      </c>
      <c r="G433" s="1">
        <v>98</v>
      </c>
      <c r="H433" s="1">
        <v>25737</v>
      </c>
      <c r="I433" s="4">
        <f>((Table1_1[[#This Row],[Likes]]+Table1_1[[#This Row],[Shares]]+Table1_1[[#This Row],[Comments]])/Table1_1[[#This Row],[Impressions]])*100</f>
        <v>11.695224773672146</v>
      </c>
      <c r="J433" s="3" t="s">
        <v>24</v>
      </c>
    </row>
    <row r="434" spans="1:10" x14ac:dyDescent="0.3">
      <c r="A434" s="1" t="s">
        <v>284</v>
      </c>
      <c r="B434" s="1" t="s">
        <v>19</v>
      </c>
      <c r="C434" s="2">
        <v>45604</v>
      </c>
      <c r="D434" s="1" t="s">
        <v>11</v>
      </c>
      <c r="E434" s="1">
        <v>2471</v>
      </c>
      <c r="F434" s="1">
        <v>166</v>
      </c>
      <c r="G434" s="1">
        <v>320</v>
      </c>
      <c r="H434" s="1">
        <v>48254</v>
      </c>
      <c r="I434" s="4">
        <f>((Table1_1[[#This Row],[Likes]]+Table1_1[[#This Row],[Shares]]+Table1_1[[#This Row],[Comments]])/Table1_1[[#This Row],[Impressions]])*100</f>
        <v>6.127989389480665</v>
      </c>
      <c r="J434" s="3" t="s">
        <v>13</v>
      </c>
    </row>
    <row r="435" spans="1:10" x14ac:dyDescent="0.3">
      <c r="A435" s="1" t="s">
        <v>284</v>
      </c>
      <c r="B435" s="1" t="s">
        <v>19</v>
      </c>
      <c r="C435" s="2">
        <v>45604</v>
      </c>
      <c r="D435" s="1" t="s">
        <v>11</v>
      </c>
      <c r="E435" s="1">
        <v>2471</v>
      </c>
      <c r="F435" s="1">
        <v>166</v>
      </c>
      <c r="G435" s="1">
        <v>320</v>
      </c>
      <c r="H435" s="1">
        <v>48254</v>
      </c>
      <c r="I435" s="4">
        <f>((Table1_1[[#This Row],[Likes]]+Table1_1[[#This Row],[Shares]]+Table1_1[[#This Row],[Comments]])/Table1_1[[#This Row],[Impressions]])*100</f>
        <v>6.127989389480665</v>
      </c>
      <c r="J435" s="3" t="s">
        <v>320</v>
      </c>
    </row>
    <row r="436" spans="1:10" x14ac:dyDescent="0.3">
      <c r="A436" s="1" t="s">
        <v>285</v>
      </c>
      <c r="B436" s="1" t="s">
        <v>19</v>
      </c>
      <c r="C436" s="2">
        <v>45368</v>
      </c>
      <c r="D436" s="1" t="s">
        <v>36</v>
      </c>
      <c r="E436" s="1">
        <v>2692</v>
      </c>
      <c r="F436" s="1">
        <v>446</v>
      </c>
      <c r="G436" s="1">
        <v>216</v>
      </c>
      <c r="H436" s="1">
        <v>45818</v>
      </c>
      <c r="I436" s="4">
        <f>((Table1_1[[#This Row],[Likes]]+Table1_1[[#This Row],[Shares]]+Table1_1[[#This Row],[Comments]])/Table1_1[[#This Row],[Impressions]])*100</f>
        <v>7.3202671439172375</v>
      </c>
      <c r="J436" s="3" t="s">
        <v>13</v>
      </c>
    </row>
    <row r="437" spans="1:10" x14ac:dyDescent="0.3">
      <c r="A437" s="1" t="s">
        <v>285</v>
      </c>
      <c r="B437" s="1" t="s">
        <v>19</v>
      </c>
      <c r="C437" s="2">
        <v>45368</v>
      </c>
      <c r="D437" s="1" t="s">
        <v>36</v>
      </c>
      <c r="E437" s="1">
        <v>2692</v>
      </c>
      <c r="F437" s="1">
        <v>446</v>
      </c>
      <c r="G437" s="1">
        <v>216</v>
      </c>
      <c r="H437" s="1">
        <v>45818</v>
      </c>
      <c r="I437" s="4">
        <f>((Table1_1[[#This Row],[Likes]]+Table1_1[[#This Row],[Shares]]+Table1_1[[#This Row],[Comments]])/Table1_1[[#This Row],[Impressions]])*100</f>
        <v>7.3202671439172375</v>
      </c>
      <c r="J437" s="3" t="s">
        <v>27</v>
      </c>
    </row>
    <row r="438" spans="1:10" x14ac:dyDescent="0.3">
      <c r="A438" s="1" t="s">
        <v>286</v>
      </c>
      <c r="B438" s="1" t="s">
        <v>19</v>
      </c>
      <c r="C438" s="2">
        <v>45464</v>
      </c>
      <c r="D438" s="1" t="s">
        <v>36</v>
      </c>
      <c r="E438" s="1">
        <v>4621</v>
      </c>
      <c r="F438" s="1">
        <v>374</v>
      </c>
      <c r="G438" s="1">
        <v>298</v>
      </c>
      <c r="H438" s="1">
        <v>56979</v>
      </c>
      <c r="I438" s="4">
        <f>((Table1_1[[#This Row],[Likes]]+Table1_1[[#This Row],[Shares]]+Table1_1[[#This Row],[Comments]])/Table1_1[[#This Row],[Impressions]])*100</f>
        <v>9.2893873181347502</v>
      </c>
      <c r="J438" s="3" t="s">
        <v>13</v>
      </c>
    </row>
    <row r="439" spans="1:10" x14ac:dyDescent="0.3">
      <c r="A439" s="1" t="s">
        <v>286</v>
      </c>
      <c r="B439" s="1" t="s">
        <v>19</v>
      </c>
      <c r="C439" s="2">
        <v>45464</v>
      </c>
      <c r="D439" s="1" t="s">
        <v>36</v>
      </c>
      <c r="E439" s="1">
        <v>4621</v>
      </c>
      <c r="F439" s="1">
        <v>374</v>
      </c>
      <c r="G439" s="1">
        <v>298</v>
      </c>
      <c r="H439" s="1">
        <v>56979</v>
      </c>
      <c r="I439" s="4">
        <f>((Table1_1[[#This Row],[Likes]]+Table1_1[[#This Row],[Shares]]+Table1_1[[#This Row],[Comments]])/Table1_1[[#This Row],[Impressions]])*100</f>
        <v>9.2893873181347502</v>
      </c>
      <c r="J439" s="3" t="s">
        <v>27</v>
      </c>
    </row>
    <row r="440" spans="1:10" x14ac:dyDescent="0.3">
      <c r="A440" s="1" t="s">
        <v>287</v>
      </c>
      <c r="B440" s="1" t="s">
        <v>15</v>
      </c>
      <c r="C440" s="2">
        <v>45609</v>
      </c>
      <c r="D440" s="1" t="s">
        <v>16</v>
      </c>
      <c r="E440" s="1">
        <v>1409</v>
      </c>
      <c r="F440" s="1">
        <v>466</v>
      </c>
      <c r="G440" s="1">
        <v>105</v>
      </c>
      <c r="H440" s="1">
        <v>58923</v>
      </c>
      <c r="I440" s="4">
        <f>((Table1_1[[#This Row],[Likes]]+Table1_1[[#This Row],[Shares]]+Table1_1[[#This Row],[Comments]])/Table1_1[[#This Row],[Impressions]])*100</f>
        <v>3.3603177027646249</v>
      </c>
      <c r="J440" s="3" t="s">
        <v>13</v>
      </c>
    </row>
    <row r="441" spans="1:10" x14ac:dyDescent="0.3">
      <c r="A441" s="1" t="s">
        <v>287</v>
      </c>
      <c r="B441" s="1" t="s">
        <v>15</v>
      </c>
      <c r="C441" s="2">
        <v>45609</v>
      </c>
      <c r="D441" s="1" t="s">
        <v>16</v>
      </c>
      <c r="E441" s="1">
        <v>1409</v>
      </c>
      <c r="F441" s="1">
        <v>466</v>
      </c>
      <c r="G441" s="1">
        <v>105</v>
      </c>
      <c r="H441" s="1">
        <v>58923</v>
      </c>
      <c r="I441" s="4">
        <f>((Table1_1[[#This Row],[Likes]]+Table1_1[[#This Row],[Shares]]+Table1_1[[#This Row],[Comments]])/Table1_1[[#This Row],[Impressions]])*100</f>
        <v>3.3603177027646249</v>
      </c>
      <c r="J441" s="3" t="s">
        <v>319</v>
      </c>
    </row>
    <row r="442" spans="1:10" x14ac:dyDescent="0.3">
      <c r="A442" s="1" t="s">
        <v>288</v>
      </c>
      <c r="B442" s="1" t="s">
        <v>15</v>
      </c>
      <c r="C442" s="2">
        <v>45693</v>
      </c>
      <c r="D442" s="1" t="s">
        <v>16</v>
      </c>
      <c r="E442" s="1">
        <v>3029</v>
      </c>
      <c r="F442" s="1">
        <v>440</v>
      </c>
      <c r="G442" s="1">
        <v>66</v>
      </c>
      <c r="H442" s="1">
        <v>23815</v>
      </c>
      <c r="I442" s="4">
        <f>((Table1_1[[#This Row],[Likes]]+Table1_1[[#This Row],[Shares]]+Table1_1[[#This Row],[Comments]])/Table1_1[[#This Row],[Impressions]])*100</f>
        <v>14.843585975225698</v>
      </c>
      <c r="J442" s="3" t="s">
        <v>13</v>
      </c>
    </row>
    <row r="443" spans="1:10" x14ac:dyDescent="0.3">
      <c r="A443" s="1" t="s">
        <v>288</v>
      </c>
      <c r="B443" s="1" t="s">
        <v>15</v>
      </c>
      <c r="C443" s="2">
        <v>45693</v>
      </c>
      <c r="D443" s="1" t="s">
        <v>16</v>
      </c>
      <c r="E443" s="1">
        <v>3029</v>
      </c>
      <c r="F443" s="1">
        <v>440</v>
      </c>
      <c r="G443" s="1">
        <v>66</v>
      </c>
      <c r="H443" s="1">
        <v>23815</v>
      </c>
      <c r="I443" s="4">
        <f>((Table1_1[[#This Row],[Likes]]+Table1_1[[#This Row],[Shares]]+Table1_1[[#This Row],[Comments]])/Table1_1[[#This Row],[Impressions]])*100</f>
        <v>14.843585975225698</v>
      </c>
      <c r="J443" s="3" t="s">
        <v>319</v>
      </c>
    </row>
    <row r="444" spans="1:10" x14ac:dyDescent="0.3">
      <c r="A444" s="1" t="s">
        <v>289</v>
      </c>
      <c r="B444" s="1" t="s">
        <v>15</v>
      </c>
      <c r="C444" s="2">
        <v>45603</v>
      </c>
      <c r="D444" s="1" t="s">
        <v>11</v>
      </c>
      <c r="E444" s="1">
        <v>2229</v>
      </c>
      <c r="F444" s="1">
        <v>395</v>
      </c>
      <c r="G444" s="1">
        <v>328</v>
      </c>
      <c r="H444" s="1">
        <v>56921</v>
      </c>
      <c r="I444" s="4">
        <f>((Table1_1[[#This Row],[Likes]]+Table1_1[[#This Row],[Shares]]+Table1_1[[#This Row],[Comments]])/Table1_1[[#This Row],[Impressions]])*100</f>
        <v>5.1861351697967359</v>
      </c>
      <c r="J444" s="3" t="s">
        <v>27</v>
      </c>
    </row>
    <row r="445" spans="1:10" x14ac:dyDescent="0.3">
      <c r="A445" s="1" t="s">
        <v>290</v>
      </c>
      <c r="B445" s="1" t="s">
        <v>15</v>
      </c>
      <c r="C445" s="2">
        <v>45334</v>
      </c>
      <c r="D445" s="1" t="s">
        <v>11</v>
      </c>
      <c r="E445" s="1">
        <v>2691</v>
      </c>
      <c r="F445" s="1">
        <v>486</v>
      </c>
      <c r="G445" s="1">
        <v>206</v>
      </c>
      <c r="H445" s="1">
        <v>51133</v>
      </c>
      <c r="I445" s="4">
        <f>((Table1_1[[#This Row],[Likes]]+Table1_1[[#This Row],[Shares]]+Table1_1[[#This Row],[Comments]])/Table1_1[[#This Row],[Impressions]])*100</f>
        <v>6.6160796354604656</v>
      </c>
      <c r="J445" s="3" t="s">
        <v>24</v>
      </c>
    </row>
    <row r="446" spans="1:10" x14ac:dyDescent="0.3">
      <c r="A446" s="1" t="s">
        <v>291</v>
      </c>
      <c r="B446" s="1" t="s">
        <v>10</v>
      </c>
      <c r="C446" s="2">
        <v>45573</v>
      </c>
      <c r="D446" s="1" t="s">
        <v>11</v>
      </c>
      <c r="E446" s="1">
        <v>2110</v>
      </c>
      <c r="F446" s="1">
        <v>384</v>
      </c>
      <c r="G446" s="1">
        <v>236</v>
      </c>
      <c r="H446" s="1">
        <v>49965</v>
      </c>
      <c r="I446" s="4">
        <f>((Table1_1[[#This Row],[Likes]]+Table1_1[[#This Row],[Shares]]+Table1_1[[#This Row],[Comments]])/Table1_1[[#This Row],[Impressions]])*100</f>
        <v>5.4638246772740917</v>
      </c>
      <c r="J446" s="3" t="s">
        <v>13</v>
      </c>
    </row>
    <row r="447" spans="1:10" x14ac:dyDescent="0.3">
      <c r="A447" s="1" t="s">
        <v>292</v>
      </c>
      <c r="B447" s="1" t="s">
        <v>10</v>
      </c>
      <c r="C447" s="2">
        <v>45341</v>
      </c>
      <c r="D447" s="1" t="s">
        <v>11</v>
      </c>
      <c r="E447" s="1">
        <v>4752</v>
      </c>
      <c r="F447" s="1">
        <v>449</v>
      </c>
      <c r="G447" s="1">
        <v>309</v>
      </c>
      <c r="H447" s="1">
        <v>58530</v>
      </c>
      <c r="I447" s="4">
        <f>((Table1_1[[#This Row],[Likes]]+Table1_1[[#This Row],[Shares]]+Table1_1[[#This Row],[Comments]])/Table1_1[[#This Row],[Impressions]])*100</f>
        <v>9.413975738937296</v>
      </c>
      <c r="J447" s="3" t="s">
        <v>13</v>
      </c>
    </row>
    <row r="448" spans="1:10" x14ac:dyDescent="0.3">
      <c r="A448" s="1" t="s">
        <v>293</v>
      </c>
      <c r="B448" s="1" t="s">
        <v>15</v>
      </c>
      <c r="C448" s="2">
        <v>45720</v>
      </c>
      <c r="D448" s="1" t="s">
        <v>11</v>
      </c>
      <c r="E448" s="1">
        <v>2177</v>
      </c>
      <c r="F448" s="1">
        <v>258</v>
      </c>
      <c r="G448" s="1">
        <v>292</v>
      </c>
      <c r="H448" s="1">
        <v>47276</v>
      </c>
      <c r="I448" s="4">
        <f>((Table1_1[[#This Row],[Likes]]+Table1_1[[#This Row],[Shares]]+Table1_1[[#This Row],[Comments]])/Table1_1[[#This Row],[Impressions]])*100</f>
        <v>5.7682545054573149</v>
      </c>
      <c r="J448" s="3" t="s">
        <v>24</v>
      </c>
    </row>
    <row r="449" spans="1:10" x14ac:dyDescent="0.3">
      <c r="A449" s="1" t="s">
        <v>294</v>
      </c>
      <c r="B449" s="1" t="s">
        <v>10</v>
      </c>
      <c r="C449" s="2">
        <v>45691</v>
      </c>
      <c r="D449" s="1" t="s">
        <v>16</v>
      </c>
      <c r="E449" s="1">
        <v>1205</v>
      </c>
      <c r="F449" s="1">
        <v>486</v>
      </c>
      <c r="G449" s="1">
        <v>269</v>
      </c>
      <c r="H449" s="1">
        <v>23341</v>
      </c>
      <c r="I449" s="4">
        <f>((Table1_1[[#This Row],[Likes]]+Table1_1[[#This Row],[Shares]]+Table1_1[[#This Row],[Comments]])/Table1_1[[#This Row],[Impressions]])*100</f>
        <v>8.3972409065592739</v>
      </c>
      <c r="J449" s="3" t="s">
        <v>24</v>
      </c>
    </row>
    <row r="450" spans="1:10" x14ac:dyDescent="0.3">
      <c r="A450" s="1" t="s">
        <v>295</v>
      </c>
      <c r="B450" s="1" t="s">
        <v>10</v>
      </c>
      <c r="C450" s="2">
        <v>45628</v>
      </c>
      <c r="D450" s="1" t="s">
        <v>11</v>
      </c>
      <c r="E450" s="1">
        <v>3194</v>
      </c>
      <c r="F450" s="1">
        <v>292</v>
      </c>
      <c r="G450" s="1">
        <v>245</v>
      </c>
      <c r="H450" s="1">
        <v>56371</v>
      </c>
      <c r="I450" s="4">
        <f>((Table1_1[[#This Row],[Likes]]+Table1_1[[#This Row],[Shares]]+Table1_1[[#This Row],[Comments]])/Table1_1[[#This Row],[Impressions]])*100</f>
        <v>6.6186514342481058</v>
      </c>
      <c r="J450" s="3" t="s">
        <v>27</v>
      </c>
    </row>
    <row r="451" spans="1:10" x14ac:dyDescent="0.3">
      <c r="A451" s="1" t="s">
        <v>295</v>
      </c>
      <c r="B451" s="1" t="s">
        <v>10</v>
      </c>
      <c r="C451" s="2">
        <v>45628</v>
      </c>
      <c r="D451" s="1" t="s">
        <v>11</v>
      </c>
      <c r="E451" s="1">
        <v>3194</v>
      </c>
      <c r="F451" s="1">
        <v>292</v>
      </c>
      <c r="G451" s="1">
        <v>245</v>
      </c>
      <c r="H451" s="1">
        <v>56371</v>
      </c>
      <c r="I451" s="4">
        <f>((Table1_1[[#This Row],[Likes]]+Table1_1[[#This Row],[Shares]]+Table1_1[[#This Row],[Comments]])/Table1_1[[#This Row],[Impressions]])*100</f>
        <v>6.6186514342481058</v>
      </c>
      <c r="J451" s="3" t="s">
        <v>24</v>
      </c>
    </row>
    <row r="452" spans="1:10" x14ac:dyDescent="0.3">
      <c r="A452" s="1" t="s">
        <v>296</v>
      </c>
      <c r="B452" s="1" t="s">
        <v>15</v>
      </c>
      <c r="C452" s="2">
        <v>45676</v>
      </c>
      <c r="D452" s="1" t="s">
        <v>16</v>
      </c>
      <c r="E452" s="1">
        <v>3507</v>
      </c>
      <c r="F452" s="1">
        <v>295</v>
      </c>
      <c r="G452" s="1">
        <v>371</v>
      </c>
      <c r="H452" s="1">
        <v>20410</v>
      </c>
      <c r="I452" s="4">
        <f>((Table1_1[[#This Row],[Likes]]+Table1_1[[#This Row],[Shares]]+Table1_1[[#This Row],[Comments]])/Table1_1[[#This Row],[Impressions]])*100</f>
        <v>20.445859872611464</v>
      </c>
      <c r="J452" s="3" t="s">
        <v>27</v>
      </c>
    </row>
    <row r="453" spans="1:10" x14ac:dyDescent="0.3">
      <c r="A453" s="1" t="s">
        <v>296</v>
      </c>
      <c r="B453" s="1" t="s">
        <v>15</v>
      </c>
      <c r="C453" s="2">
        <v>45676</v>
      </c>
      <c r="D453" s="1" t="s">
        <v>16</v>
      </c>
      <c r="E453" s="1">
        <v>3507</v>
      </c>
      <c r="F453" s="1">
        <v>295</v>
      </c>
      <c r="G453" s="1">
        <v>371</v>
      </c>
      <c r="H453" s="1">
        <v>20410</v>
      </c>
      <c r="I453" s="4">
        <f>((Table1_1[[#This Row],[Likes]]+Table1_1[[#This Row],[Shares]]+Table1_1[[#This Row],[Comments]])/Table1_1[[#This Row],[Impressions]])*100</f>
        <v>20.445859872611464</v>
      </c>
      <c r="J453" s="3" t="s">
        <v>24</v>
      </c>
    </row>
    <row r="454" spans="1:10" x14ac:dyDescent="0.3">
      <c r="A454" s="1" t="s">
        <v>297</v>
      </c>
      <c r="B454" s="1" t="s">
        <v>15</v>
      </c>
      <c r="C454" s="2">
        <v>45563</v>
      </c>
      <c r="D454" s="1" t="s">
        <v>16</v>
      </c>
      <c r="E454" s="1">
        <v>4471</v>
      </c>
      <c r="F454" s="1">
        <v>317</v>
      </c>
      <c r="G454" s="1">
        <v>249</v>
      </c>
      <c r="H454" s="1">
        <v>44862</v>
      </c>
      <c r="I454" s="4">
        <f>((Table1_1[[#This Row],[Likes]]+Table1_1[[#This Row],[Shares]]+Table1_1[[#This Row],[Comments]])/Table1_1[[#This Row],[Impressions]])*100</f>
        <v>11.22776514644911</v>
      </c>
      <c r="J454" s="3" t="s">
        <v>13</v>
      </c>
    </row>
    <row r="455" spans="1:10" x14ac:dyDescent="0.3">
      <c r="A455" s="1" t="s">
        <v>297</v>
      </c>
      <c r="B455" s="1" t="s">
        <v>15</v>
      </c>
      <c r="C455" s="2">
        <v>45563</v>
      </c>
      <c r="D455" s="1" t="s">
        <v>16</v>
      </c>
      <c r="E455" s="1">
        <v>4471</v>
      </c>
      <c r="F455" s="1">
        <v>317</v>
      </c>
      <c r="G455" s="1">
        <v>249</v>
      </c>
      <c r="H455" s="1">
        <v>44862</v>
      </c>
      <c r="I455" s="4">
        <f>((Table1_1[[#This Row],[Likes]]+Table1_1[[#This Row],[Shares]]+Table1_1[[#This Row],[Comments]])/Table1_1[[#This Row],[Impressions]])*100</f>
        <v>11.22776514644911</v>
      </c>
      <c r="J455" s="3" t="s">
        <v>319</v>
      </c>
    </row>
    <row r="456" spans="1:10" x14ac:dyDescent="0.3">
      <c r="A456" s="1" t="s">
        <v>298</v>
      </c>
      <c r="B456" s="1" t="s">
        <v>10</v>
      </c>
      <c r="C456" s="2">
        <v>45298</v>
      </c>
      <c r="D456" s="1" t="s">
        <v>11</v>
      </c>
      <c r="E456" s="1">
        <v>4931</v>
      </c>
      <c r="F456" s="1">
        <v>469</v>
      </c>
      <c r="G456" s="1">
        <v>193</v>
      </c>
      <c r="H456" s="1">
        <v>56701</v>
      </c>
      <c r="I456" s="4">
        <f>((Table1_1[[#This Row],[Likes]]+Table1_1[[#This Row],[Shares]]+Table1_1[[#This Row],[Comments]])/Table1_1[[#This Row],[Impressions]])*100</f>
        <v>9.8640235621946708</v>
      </c>
      <c r="J456" s="3" t="s">
        <v>27</v>
      </c>
    </row>
    <row r="457" spans="1:10" x14ac:dyDescent="0.3">
      <c r="A457" s="1" t="s">
        <v>298</v>
      </c>
      <c r="B457" s="1" t="s">
        <v>10</v>
      </c>
      <c r="C457" s="2">
        <v>45298</v>
      </c>
      <c r="D457" s="1" t="s">
        <v>11</v>
      </c>
      <c r="E457" s="1">
        <v>4931</v>
      </c>
      <c r="F457" s="1">
        <v>469</v>
      </c>
      <c r="G457" s="1">
        <v>193</v>
      </c>
      <c r="H457" s="1">
        <v>56701</v>
      </c>
      <c r="I457" s="4">
        <f>((Table1_1[[#This Row],[Likes]]+Table1_1[[#This Row],[Shares]]+Table1_1[[#This Row],[Comments]])/Table1_1[[#This Row],[Impressions]])*100</f>
        <v>9.8640235621946708</v>
      </c>
      <c r="J457" s="3" t="s">
        <v>24</v>
      </c>
    </row>
    <row r="458" spans="1:10" x14ac:dyDescent="0.3">
      <c r="A458" s="1" t="s">
        <v>299</v>
      </c>
      <c r="B458" s="1" t="s">
        <v>15</v>
      </c>
      <c r="C458" s="2">
        <v>45343</v>
      </c>
      <c r="D458" s="1" t="s">
        <v>16</v>
      </c>
      <c r="E458" s="1">
        <v>2604</v>
      </c>
      <c r="F458" s="1">
        <v>439</v>
      </c>
      <c r="G458" s="1">
        <v>148</v>
      </c>
      <c r="H458" s="1">
        <v>58468</v>
      </c>
      <c r="I458" s="4">
        <f>((Table1_1[[#This Row],[Likes]]+Table1_1[[#This Row],[Shares]]+Table1_1[[#This Row],[Comments]])/Table1_1[[#This Row],[Impressions]])*100</f>
        <v>5.4576862557296293</v>
      </c>
      <c r="J458" s="3" t="s">
        <v>319</v>
      </c>
    </row>
    <row r="459" spans="1:10" x14ac:dyDescent="0.3">
      <c r="A459" s="1" t="s">
        <v>299</v>
      </c>
      <c r="B459" s="1" t="s">
        <v>15</v>
      </c>
      <c r="C459" s="2">
        <v>45343</v>
      </c>
      <c r="D459" s="1" t="s">
        <v>16</v>
      </c>
      <c r="E459" s="1">
        <v>2604</v>
      </c>
      <c r="F459" s="1">
        <v>439</v>
      </c>
      <c r="G459" s="1">
        <v>148</v>
      </c>
      <c r="H459" s="1">
        <v>58468</v>
      </c>
      <c r="I459" s="4">
        <f>((Table1_1[[#This Row],[Likes]]+Table1_1[[#This Row],[Shares]]+Table1_1[[#This Row],[Comments]])/Table1_1[[#This Row],[Impressions]])*100</f>
        <v>5.4576862557296293</v>
      </c>
      <c r="J459" s="3" t="s">
        <v>24</v>
      </c>
    </row>
    <row r="460" spans="1:10" x14ac:dyDescent="0.3">
      <c r="A460" s="1" t="s">
        <v>300</v>
      </c>
      <c r="B460" s="1" t="s">
        <v>10</v>
      </c>
      <c r="C460" s="2">
        <v>45531</v>
      </c>
      <c r="D460" s="1" t="s">
        <v>11</v>
      </c>
      <c r="E460" s="1">
        <v>4197</v>
      </c>
      <c r="F460" s="1">
        <v>359</v>
      </c>
      <c r="G460" s="1">
        <v>280</v>
      </c>
      <c r="H460" s="1">
        <v>56048</v>
      </c>
      <c r="I460" s="4">
        <f>((Table1_1[[#This Row],[Likes]]+Table1_1[[#This Row],[Shares]]+Table1_1[[#This Row],[Comments]])/Table1_1[[#This Row],[Impressions]])*100</f>
        <v>8.6283185840707954</v>
      </c>
      <c r="J460" s="3" t="s">
        <v>13</v>
      </c>
    </row>
    <row r="461" spans="1:10" x14ac:dyDescent="0.3">
      <c r="A461" s="1" t="s">
        <v>301</v>
      </c>
      <c r="B461" s="1" t="s">
        <v>10</v>
      </c>
      <c r="C461" s="2">
        <v>45589</v>
      </c>
      <c r="D461" s="1" t="s">
        <v>16</v>
      </c>
      <c r="E461" s="1">
        <v>1914</v>
      </c>
      <c r="F461" s="1">
        <v>255</v>
      </c>
      <c r="G461" s="1">
        <v>156</v>
      </c>
      <c r="H461" s="1">
        <v>27660</v>
      </c>
      <c r="I461" s="4">
        <f>((Table1_1[[#This Row],[Likes]]+Table1_1[[#This Row],[Shares]]+Table1_1[[#This Row],[Comments]])/Table1_1[[#This Row],[Impressions]])*100</f>
        <v>8.405639913232104</v>
      </c>
      <c r="J461" s="3" t="s">
        <v>24</v>
      </c>
    </row>
    <row r="462" spans="1:10" x14ac:dyDescent="0.3">
      <c r="A462" s="1" t="s">
        <v>302</v>
      </c>
      <c r="B462" s="1" t="s">
        <v>19</v>
      </c>
      <c r="C462" s="2">
        <v>45686</v>
      </c>
      <c r="D462" s="1" t="s">
        <v>11</v>
      </c>
      <c r="E462" s="1">
        <v>1334</v>
      </c>
      <c r="F462" s="1">
        <v>357</v>
      </c>
      <c r="G462" s="1">
        <v>257</v>
      </c>
      <c r="H462" s="1">
        <v>56910</v>
      </c>
      <c r="I462" s="4">
        <f>((Table1_1[[#This Row],[Likes]]+Table1_1[[#This Row],[Shares]]+Table1_1[[#This Row],[Comments]])/Table1_1[[#This Row],[Impressions]])*100</f>
        <v>3.4229485151994381</v>
      </c>
      <c r="J462" s="3" t="s">
        <v>13</v>
      </c>
    </row>
    <row r="463" spans="1:10" x14ac:dyDescent="0.3">
      <c r="A463" s="1" t="s">
        <v>302</v>
      </c>
      <c r="B463" s="1" t="s">
        <v>19</v>
      </c>
      <c r="C463" s="2">
        <v>45686</v>
      </c>
      <c r="D463" s="1" t="s">
        <v>11</v>
      </c>
      <c r="E463" s="1">
        <v>1334</v>
      </c>
      <c r="F463" s="1">
        <v>357</v>
      </c>
      <c r="G463" s="1">
        <v>257</v>
      </c>
      <c r="H463" s="1">
        <v>56910</v>
      </c>
      <c r="I463" s="4">
        <f>((Table1_1[[#This Row],[Likes]]+Table1_1[[#This Row],[Shares]]+Table1_1[[#This Row],[Comments]])/Table1_1[[#This Row],[Impressions]])*100</f>
        <v>3.4229485151994381</v>
      </c>
      <c r="J463" s="3" t="s">
        <v>320</v>
      </c>
    </row>
    <row r="464" spans="1:10" x14ac:dyDescent="0.3">
      <c r="A464" s="1" t="s">
        <v>303</v>
      </c>
      <c r="B464" s="1" t="s">
        <v>10</v>
      </c>
      <c r="C464" s="2">
        <v>45413</v>
      </c>
      <c r="D464" s="1" t="s">
        <v>11</v>
      </c>
      <c r="E464" s="1">
        <v>3359</v>
      </c>
      <c r="F464" s="1">
        <v>137</v>
      </c>
      <c r="G464" s="1">
        <v>387</v>
      </c>
      <c r="H464" s="1">
        <v>33861</v>
      </c>
      <c r="I464" s="4">
        <f>((Table1_1[[#This Row],[Likes]]+Table1_1[[#This Row],[Shares]]+Table1_1[[#This Row],[Comments]])/Table1_1[[#This Row],[Impressions]])*100</f>
        <v>11.467469950680725</v>
      </c>
      <c r="J464" s="3" t="s">
        <v>13</v>
      </c>
    </row>
    <row r="465" spans="1:10" x14ac:dyDescent="0.3">
      <c r="A465" s="1" t="s">
        <v>304</v>
      </c>
      <c r="B465" s="1" t="s">
        <v>19</v>
      </c>
      <c r="C465" s="2">
        <v>45468</v>
      </c>
      <c r="D465" s="1" t="s">
        <v>11</v>
      </c>
      <c r="E465" s="1">
        <v>2172</v>
      </c>
      <c r="F465" s="1">
        <v>338</v>
      </c>
      <c r="G465" s="1">
        <v>70</v>
      </c>
      <c r="H465" s="1">
        <v>30515</v>
      </c>
      <c r="I465" s="4">
        <f>((Table1_1[[#This Row],[Likes]]+Table1_1[[#This Row],[Shares]]+Table1_1[[#This Row],[Comments]])/Table1_1[[#This Row],[Impressions]])*100</f>
        <v>8.4548582664263474</v>
      </c>
      <c r="J465" s="3" t="s">
        <v>13</v>
      </c>
    </row>
    <row r="466" spans="1:10" x14ac:dyDescent="0.3">
      <c r="A466" s="1" t="s">
        <v>304</v>
      </c>
      <c r="B466" s="1" t="s">
        <v>19</v>
      </c>
      <c r="C466" s="2">
        <v>45468</v>
      </c>
      <c r="D466" s="1" t="s">
        <v>11</v>
      </c>
      <c r="E466" s="1">
        <v>2172</v>
      </c>
      <c r="F466" s="1">
        <v>338</v>
      </c>
      <c r="G466" s="1">
        <v>70</v>
      </c>
      <c r="H466" s="1">
        <v>30515</v>
      </c>
      <c r="I466" s="4">
        <f>((Table1_1[[#This Row],[Likes]]+Table1_1[[#This Row],[Shares]]+Table1_1[[#This Row],[Comments]])/Table1_1[[#This Row],[Impressions]])*100</f>
        <v>8.4548582664263474</v>
      </c>
      <c r="J466" s="3" t="s">
        <v>320</v>
      </c>
    </row>
    <row r="467" spans="1:10" x14ac:dyDescent="0.3">
      <c r="A467" s="1" t="s">
        <v>305</v>
      </c>
      <c r="B467" s="1" t="s">
        <v>15</v>
      </c>
      <c r="C467" s="2">
        <v>45513</v>
      </c>
      <c r="D467" s="1" t="s">
        <v>16</v>
      </c>
      <c r="E467" s="1">
        <v>4877</v>
      </c>
      <c r="F467" s="1">
        <v>442</v>
      </c>
      <c r="G467" s="1">
        <v>236</v>
      </c>
      <c r="H467" s="1">
        <v>52673</v>
      </c>
      <c r="I467" s="4">
        <f>((Table1_1[[#This Row],[Likes]]+Table1_1[[#This Row],[Shares]]+Table1_1[[#This Row],[Comments]])/Table1_1[[#This Row],[Impressions]])*100</f>
        <v>10.546200140489436</v>
      </c>
      <c r="J467" s="3" t="s">
        <v>13</v>
      </c>
    </row>
    <row r="468" spans="1:10" x14ac:dyDescent="0.3">
      <c r="A468" s="1" t="s">
        <v>305</v>
      </c>
      <c r="B468" s="1" t="s">
        <v>15</v>
      </c>
      <c r="C468" s="2">
        <v>45513</v>
      </c>
      <c r="D468" s="1" t="s">
        <v>16</v>
      </c>
      <c r="E468" s="1">
        <v>4877</v>
      </c>
      <c r="F468" s="1">
        <v>442</v>
      </c>
      <c r="G468" s="1">
        <v>236</v>
      </c>
      <c r="H468" s="1">
        <v>52673</v>
      </c>
      <c r="I468" s="4">
        <f>((Table1_1[[#This Row],[Likes]]+Table1_1[[#This Row],[Shares]]+Table1_1[[#This Row],[Comments]])/Table1_1[[#This Row],[Impressions]])*100</f>
        <v>10.546200140489436</v>
      </c>
      <c r="J468" s="3" t="s">
        <v>319</v>
      </c>
    </row>
    <row r="469" spans="1:10" x14ac:dyDescent="0.3">
      <c r="A469" s="1" t="s">
        <v>306</v>
      </c>
      <c r="B469" s="1" t="s">
        <v>10</v>
      </c>
      <c r="C469" s="2">
        <v>45678</v>
      </c>
      <c r="D469" s="1" t="s">
        <v>16</v>
      </c>
      <c r="E469" s="1">
        <v>4918</v>
      </c>
      <c r="F469" s="1">
        <v>440</v>
      </c>
      <c r="G469" s="1">
        <v>149</v>
      </c>
      <c r="H469" s="1">
        <v>53269</v>
      </c>
      <c r="I469" s="4">
        <f>((Table1_1[[#This Row],[Likes]]+Table1_1[[#This Row],[Shares]]+Table1_1[[#This Row],[Comments]])/Table1_1[[#This Row],[Impressions]])*100</f>
        <v>10.338095327488784</v>
      </c>
      <c r="J469" s="3" t="s">
        <v>24</v>
      </c>
    </row>
    <row r="470" spans="1:10" x14ac:dyDescent="0.3">
      <c r="A470" s="1" t="s">
        <v>307</v>
      </c>
      <c r="B470" s="1" t="s">
        <v>15</v>
      </c>
      <c r="C470" s="2">
        <v>45517</v>
      </c>
      <c r="D470" s="1" t="s">
        <v>11</v>
      </c>
      <c r="E470" s="1">
        <v>3418</v>
      </c>
      <c r="F470" s="1">
        <v>107</v>
      </c>
      <c r="G470" s="1">
        <v>221</v>
      </c>
      <c r="H470" s="1">
        <v>23927</v>
      </c>
      <c r="I470" s="4">
        <f>((Table1_1[[#This Row],[Likes]]+Table1_1[[#This Row],[Shares]]+Table1_1[[#This Row],[Comments]])/Table1_1[[#This Row],[Impressions]])*100</f>
        <v>15.65595352530614</v>
      </c>
      <c r="J470" s="3" t="s">
        <v>27</v>
      </c>
    </row>
    <row r="471" spans="1:10" x14ac:dyDescent="0.3">
      <c r="A471" s="1" t="s">
        <v>308</v>
      </c>
      <c r="B471" s="1" t="s">
        <v>10</v>
      </c>
      <c r="C471" s="2">
        <v>45472</v>
      </c>
      <c r="D471" s="1" t="s">
        <v>11</v>
      </c>
      <c r="E471" s="1">
        <v>2088</v>
      </c>
      <c r="F471" s="1">
        <v>490</v>
      </c>
      <c r="G471" s="1">
        <v>124</v>
      </c>
      <c r="H471" s="1">
        <v>46544</v>
      </c>
      <c r="I471" s="4">
        <f>((Table1_1[[#This Row],[Likes]]+Table1_1[[#This Row],[Shares]]+Table1_1[[#This Row],[Comments]])/Table1_1[[#This Row],[Impressions]])*100</f>
        <v>5.8052595393606046</v>
      </c>
      <c r="J471" s="3" t="s">
        <v>27</v>
      </c>
    </row>
    <row r="472" spans="1:10" x14ac:dyDescent="0.3">
      <c r="A472" s="1" t="s">
        <v>308</v>
      </c>
      <c r="B472" s="1" t="s">
        <v>10</v>
      </c>
      <c r="C472" s="2">
        <v>45472</v>
      </c>
      <c r="D472" s="1" t="s">
        <v>11</v>
      </c>
      <c r="E472" s="1">
        <v>2088</v>
      </c>
      <c r="F472" s="1">
        <v>490</v>
      </c>
      <c r="G472" s="1">
        <v>124</v>
      </c>
      <c r="H472" s="1">
        <v>46544</v>
      </c>
      <c r="I472" s="4">
        <f>((Table1_1[[#This Row],[Likes]]+Table1_1[[#This Row],[Shares]]+Table1_1[[#This Row],[Comments]])/Table1_1[[#This Row],[Impressions]])*100</f>
        <v>5.8052595393606046</v>
      </c>
      <c r="J472" s="3" t="s">
        <v>24</v>
      </c>
    </row>
    <row r="473" spans="1:10" x14ac:dyDescent="0.3">
      <c r="A473" s="1" t="s">
        <v>309</v>
      </c>
      <c r="B473" s="1" t="s">
        <v>15</v>
      </c>
      <c r="C473" s="2">
        <v>45599</v>
      </c>
      <c r="D473" s="1" t="s">
        <v>16</v>
      </c>
      <c r="E473" s="1">
        <v>3061</v>
      </c>
      <c r="F473" s="1">
        <v>320</v>
      </c>
      <c r="G473" s="1">
        <v>76</v>
      </c>
      <c r="H473" s="1">
        <v>26640</v>
      </c>
      <c r="I473" s="4">
        <f>((Table1_1[[#This Row],[Likes]]+Table1_1[[#This Row],[Shares]]+Table1_1[[#This Row],[Comments]])/Table1_1[[#This Row],[Impressions]])*100</f>
        <v>12.976726726726726</v>
      </c>
      <c r="J473" s="3" t="s">
        <v>319</v>
      </c>
    </row>
    <row r="474" spans="1:10" x14ac:dyDescent="0.3">
      <c r="A474" s="1" t="s">
        <v>309</v>
      </c>
      <c r="B474" s="1" t="s">
        <v>15</v>
      </c>
      <c r="C474" s="2">
        <v>45599</v>
      </c>
      <c r="D474" s="1" t="s">
        <v>16</v>
      </c>
      <c r="E474" s="1">
        <v>3061</v>
      </c>
      <c r="F474" s="1">
        <v>320</v>
      </c>
      <c r="G474" s="1">
        <v>76</v>
      </c>
      <c r="H474" s="1">
        <v>26640</v>
      </c>
      <c r="I474" s="4">
        <f>((Table1_1[[#This Row],[Likes]]+Table1_1[[#This Row],[Shares]]+Table1_1[[#This Row],[Comments]])/Table1_1[[#This Row],[Impressions]])*100</f>
        <v>12.976726726726726</v>
      </c>
      <c r="J474" s="3" t="s">
        <v>24</v>
      </c>
    </row>
    <row r="475" spans="1:10" x14ac:dyDescent="0.3">
      <c r="A475" s="1" t="s">
        <v>310</v>
      </c>
      <c r="B475" s="1" t="s">
        <v>19</v>
      </c>
      <c r="C475" s="2">
        <v>45765</v>
      </c>
      <c r="D475" s="1" t="s">
        <v>36</v>
      </c>
      <c r="E475" s="1">
        <v>1265</v>
      </c>
      <c r="F475" s="1">
        <v>230</v>
      </c>
      <c r="G475" s="1">
        <v>364</v>
      </c>
      <c r="H475" s="1">
        <v>41312</v>
      </c>
      <c r="I475" s="4">
        <f>((Table1_1[[#This Row],[Likes]]+Table1_1[[#This Row],[Shares]]+Table1_1[[#This Row],[Comments]])/Table1_1[[#This Row],[Impressions]])*100</f>
        <v>4.4999031758326877</v>
      </c>
      <c r="J475" s="3" t="s">
        <v>13</v>
      </c>
    </row>
    <row r="476" spans="1:10" x14ac:dyDescent="0.3">
      <c r="A476" s="1" t="s">
        <v>310</v>
      </c>
      <c r="B476" s="1" t="s">
        <v>19</v>
      </c>
      <c r="C476" s="2">
        <v>45765</v>
      </c>
      <c r="D476" s="1" t="s">
        <v>36</v>
      </c>
      <c r="E476" s="1">
        <v>1265</v>
      </c>
      <c r="F476" s="1">
        <v>230</v>
      </c>
      <c r="G476" s="1">
        <v>364</v>
      </c>
      <c r="H476" s="1">
        <v>41312</v>
      </c>
      <c r="I476" s="4">
        <f>((Table1_1[[#This Row],[Likes]]+Table1_1[[#This Row],[Shares]]+Table1_1[[#This Row],[Comments]])/Table1_1[[#This Row],[Impressions]])*100</f>
        <v>4.4999031758326877</v>
      </c>
      <c r="J476" s="3" t="s">
        <v>27</v>
      </c>
    </row>
    <row r="477" spans="1:10" x14ac:dyDescent="0.3">
      <c r="A477" s="1" t="s">
        <v>311</v>
      </c>
      <c r="B477" s="1" t="s">
        <v>10</v>
      </c>
      <c r="C477" s="2">
        <v>45653</v>
      </c>
      <c r="D477" s="1" t="s">
        <v>11</v>
      </c>
      <c r="E477" s="1">
        <v>1436</v>
      </c>
      <c r="F477" s="1">
        <v>219</v>
      </c>
      <c r="G477" s="1">
        <v>229</v>
      </c>
      <c r="H477" s="1">
        <v>58488</v>
      </c>
      <c r="I477" s="4">
        <f>((Table1_1[[#This Row],[Likes]]+Table1_1[[#This Row],[Shares]]+Table1_1[[#This Row],[Comments]])/Table1_1[[#This Row],[Impressions]])*100</f>
        <v>3.2211735740664751</v>
      </c>
      <c r="J477" s="3" t="s">
        <v>13</v>
      </c>
    </row>
    <row r="478" spans="1:10" x14ac:dyDescent="0.3">
      <c r="A478" s="1" t="s">
        <v>312</v>
      </c>
      <c r="B478" s="1" t="s">
        <v>10</v>
      </c>
      <c r="C478" s="2">
        <v>45724</v>
      </c>
      <c r="D478" s="1" t="s">
        <v>16</v>
      </c>
      <c r="E478" s="1">
        <v>2244</v>
      </c>
      <c r="F478" s="1">
        <v>392</v>
      </c>
      <c r="G478" s="1">
        <v>231</v>
      </c>
      <c r="H478" s="1">
        <v>25834</v>
      </c>
      <c r="I478" s="4">
        <f>((Table1_1[[#This Row],[Likes]]+Table1_1[[#This Row],[Shares]]+Table1_1[[#This Row],[Comments]])/Table1_1[[#This Row],[Impressions]])*100</f>
        <v>11.097778121854921</v>
      </c>
      <c r="J478" s="3" t="s">
        <v>24</v>
      </c>
    </row>
    <row r="479" spans="1:10" x14ac:dyDescent="0.3">
      <c r="A479" s="1" t="s">
        <v>313</v>
      </c>
      <c r="B479" s="1" t="s">
        <v>15</v>
      </c>
      <c r="C479" s="2">
        <v>45736</v>
      </c>
      <c r="D479" s="1" t="s">
        <v>16</v>
      </c>
      <c r="E479" s="1">
        <v>3393</v>
      </c>
      <c r="F479" s="1">
        <v>104</v>
      </c>
      <c r="G479" s="1">
        <v>79</v>
      </c>
      <c r="H479" s="1">
        <v>30025</v>
      </c>
      <c r="I479" s="4">
        <f>((Table1_1[[#This Row],[Likes]]+Table1_1[[#This Row],[Shares]]+Table1_1[[#This Row],[Comments]])/Table1_1[[#This Row],[Impressions]])*100</f>
        <v>11.910074937552039</v>
      </c>
      <c r="J479" s="3" t="s">
        <v>319</v>
      </c>
    </row>
    <row r="480" spans="1:10" x14ac:dyDescent="0.3">
      <c r="A480" s="1" t="s">
        <v>313</v>
      </c>
      <c r="B480" s="1" t="s">
        <v>15</v>
      </c>
      <c r="C480" s="2">
        <v>45736</v>
      </c>
      <c r="D480" s="1" t="s">
        <v>16</v>
      </c>
      <c r="E480" s="1">
        <v>3393</v>
      </c>
      <c r="F480" s="1">
        <v>104</v>
      </c>
      <c r="G480" s="1">
        <v>79</v>
      </c>
      <c r="H480" s="1">
        <v>30025</v>
      </c>
      <c r="I480" s="4">
        <f>((Table1_1[[#This Row],[Likes]]+Table1_1[[#This Row],[Shares]]+Table1_1[[#This Row],[Comments]])/Table1_1[[#This Row],[Impressions]])*100</f>
        <v>11.910074937552039</v>
      </c>
      <c r="J480" s="3" t="s">
        <v>24</v>
      </c>
    </row>
    <row r="481" spans="1:10" x14ac:dyDescent="0.3">
      <c r="A481" s="1" t="s">
        <v>314</v>
      </c>
      <c r="B481" s="1" t="s">
        <v>15</v>
      </c>
      <c r="C481" s="2">
        <v>45612</v>
      </c>
      <c r="D481" s="1" t="s">
        <v>11</v>
      </c>
      <c r="E481" s="1">
        <v>2901</v>
      </c>
      <c r="F481" s="1">
        <v>108</v>
      </c>
      <c r="G481" s="1">
        <v>86</v>
      </c>
      <c r="H481" s="1">
        <v>51777</v>
      </c>
      <c r="I481" s="4">
        <f>((Table1_1[[#This Row],[Likes]]+Table1_1[[#This Row],[Shares]]+Table1_1[[#This Row],[Comments]])/Table1_1[[#This Row],[Impressions]])*100</f>
        <v>5.9775576027966082</v>
      </c>
      <c r="J481" s="3" t="s">
        <v>27</v>
      </c>
    </row>
    <row r="482" spans="1:10" x14ac:dyDescent="0.3">
      <c r="A482" s="1" t="s">
        <v>315</v>
      </c>
      <c r="B482" s="1" t="s">
        <v>15</v>
      </c>
      <c r="C482" s="2">
        <v>45838</v>
      </c>
      <c r="D482" s="1" t="s">
        <v>11</v>
      </c>
      <c r="E482" s="1">
        <v>2275</v>
      </c>
      <c r="F482" s="1">
        <v>285</v>
      </c>
      <c r="G482" s="1">
        <v>125</v>
      </c>
      <c r="H482" s="1">
        <v>43970</v>
      </c>
      <c r="I482" s="4">
        <f>((Table1_1[[#This Row],[Likes]]+Table1_1[[#This Row],[Shares]]+Table1_1[[#This Row],[Comments]])/Table1_1[[#This Row],[Impressions]])*100</f>
        <v>6.1064362065044353</v>
      </c>
      <c r="J482" s="3" t="s">
        <v>24</v>
      </c>
    </row>
    <row r="483" spans="1:10" x14ac:dyDescent="0.3">
      <c r="A483" s="1" t="s">
        <v>316</v>
      </c>
      <c r="B483" s="1" t="s">
        <v>15</v>
      </c>
      <c r="C483" s="2">
        <v>45303</v>
      </c>
      <c r="D483" s="1" t="s">
        <v>16</v>
      </c>
      <c r="E483" s="1">
        <v>2227</v>
      </c>
      <c r="F483" s="1">
        <v>494</v>
      </c>
      <c r="G483" s="1">
        <v>161</v>
      </c>
      <c r="H483" s="1">
        <v>51651</v>
      </c>
      <c r="I483" s="4">
        <f>((Table1_1[[#This Row],[Likes]]+Table1_1[[#This Row],[Shares]]+Table1_1[[#This Row],[Comments]])/Table1_1[[#This Row],[Impressions]])*100</f>
        <v>5.5797564422760448</v>
      </c>
      <c r="J483" s="3" t="s">
        <v>13</v>
      </c>
    </row>
    <row r="484" spans="1:10" x14ac:dyDescent="0.3">
      <c r="A484" s="1" t="s">
        <v>316</v>
      </c>
      <c r="B484" s="1" t="s">
        <v>15</v>
      </c>
      <c r="C484" s="2">
        <v>45303</v>
      </c>
      <c r="D484" s="1" t="s">
        <v>16</v>
      </c>
      <c r="E484" s="1">
        <v>2227</v>
      </c>
      <c r="F484" s="1">
        <v>494</v>
      </c>
      <c r="G484" s="1">
        <v>161</v>
      </c>
      <c r="H484" s="1">
        <v>51651</v>
      </c>
      <c r="I484" s="4">
        <f>((Table1_1[[#This Row],[Likes]]+Table1_1[[#This Row],[Shares]]+Table1_1[[#This Row],[Comments]])/Table1_1[[#This Row],[Impressions]])*100</f>
        <v>5.5797564422760448</v>
      </c>
      <c r="J484" s="3" t="s">
        <v>319</v>
      </c>
    </row>
    <row r="485" spans="1:10" x14ac:dyDescent="0.3">
      <c r="A485" s="1" t="s">
        <v>317</v>
      </c>
      <c r="B485" s="1" t="s">
        <v>10</v>
      </c>
      <c r="C485" s="2">
        <v>45329</v>
      </c>
      <c r="D485" s="1" t="s">
        <v>11</v>
      </c>
      <c r="E485" s="1">
        <v>1883</v>
      </c>
      <c r="F485" s="1">
        <v>432</v>
      </c>
      <c r="G485" s="1">
        <v>397</v>
      </c>
      <c r="H485" s="1">
        <v>28759</v>
      </c>
      <c r="I485" s="4">
        <f>((Table1_1[[#This Row],[Likes]]+Table1_1[[#This Row],[Shares]]+Table1_1[[#This Row],[Comments]])/Table1_1[[#This Row],[Impressions]])*100</f>
        <v>9.4300914496331583</v>
      </c>
      <c r="J485" s="3" t="s">
        <v>27</v>
      </c>
    </row>
    <row r="486" spans="1:10" x14ac:dyDescent="0.3">
      <c r="A486" s="1" t="s">
        <v>317</v>
      </c>
      <c r="B486" s="1" t="s">
        <v>10</v>
      </c>
      <c r="C486" s="2">
        <v>45329</v>
      </c>
      <c r="D486" s="1" t="s">
        <v>11</v>
      </c>
      <c r="E486" s="1">
        <v>1883</v>
      </c>
      <c r="F486" s="1">
        <v>432</v>
      </c>
      <c r="G486" s="1">
        <v>397</v>
      </c>
      <c r="H486" s="1">
        <v>28759</v>
      </c>
      <c r="I486" s="4">
        <f>((Table1_1[[#This Row],[Likes]]+Table1_1[[#This Row],[Shares]]+Table1_1[[#This Row],[Comments]])/Table1_1[[#This Row],[Impressions]])*100</f>
        <v>9.4300914496331583</v>
      </c>
      <c r="J486" s="3" t="s">
        <v>24</v>
      </c>
    </row>
  </sheetData>
  <mergeCells count="1">
    <mergeCell ref="A1:J2"/>
  </mergeCells>
  <conditionalFormatting sqref="M18:O22">
    <cfRule type="expression" dxfId="0" priority="1">
      <formula>RANK($N18,$N$18:$N$22)&lt;=2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B4BA-2C94-4DAC-AC09-F668A42AFB1A}">
  <dimension ref="A3:D22"/>
  <sheetViews>
    <sheetView workbookViewId="0">
      <selection activeCell="C20" sqref="C20"/>
    </sheetView>
  </sheetViews>
  <sheetFormatPr defaultRowHeight="14.4" x14ac:dyDescent="0.3"/>
  <cols>
    <col min="1" max="1" width="11.44140625" customWidth="1"/>
    <col min="2" max="2" width="19" bestFit="1" customWidth="1"/>
    <col min="3" max="3" width="16.88671875" bestFit="1" customWidth="1"/>
    <col min="4" max="4" width="14.109375" bestFit="1" customWidth="1"/>
    <col min="5" max="5" width="10.77734375" bestFit="1" customWidth="1"/>
  </cols>
  <sheetData>
    <row r="3" spans="1:4" x14ac:dyDescent="0.3">
      <c r="A3" s="11" t="s">
        <v>326</v>
      </c>
      <c r="B3" s="11" t="s">
        <v>325</v>
      </c>
    </row>
    <row r="4" spans="1:4" x14ac:dyDescent="0.3">
      <c r="A4" s="11" t="s">
        <v>324</v>
      </c>
      <c r="B4" t="s">
        <v>36</v>
      </c>
      <c r="C4" t="s">
        <v>16</v>
      </c>
      <c r="D4" t="s">
        <v>11</v>
      </c>
    </row>
    <row r="5" spans="1:4" x14ac:dyDescent="0.3">
      <c r="A5" s="12" t="s">
        <v>10</v>
      </c>
      <c r="B5" s="5"/>
      <c r="C5" s="5">
        <v>9.5509123528654065</v>
      </c>
      <c r="D5" s="5">
        <v>8.8783320500261702</v>
      </c>
    </row>
    <row r="6" spans="1:4" x14ac:dyDescent="0.3">
      <c r="A6" s="12" t="s">
        <v>15</v>
      </c>
      <c r="B6" s="5"/>
      <c r="C6" s="5">
        <v>9.6350204330797542</v>
      </c>
      <c r="D6" s="5">
        <v>9.5584491232904494</v>
      </c>
    </row>
    <row r="7" spans="1:4" x14ac:dyDescent="0.3">
      <c r="A7" s="12" t="s">
        <v>19</v>
      </c>
      <c r="B7" s="5">
        <v>9.0106881535033523</v>
      </c>
      <c r="C7" s="5"/>
      <c r="D7" s="5">
        <v>8.6403291293675739</v>
      </c>
    </row>
    <row r="19" spans="1:4" x14ac:dyDescent="0.3">
      <c r="A19" s="9" t="s">
        <v>1</v>
      </c>
      <c r="B19" s="9" t="s">
        <v>327</v>
      </c>
      <c r="C19" s="9" t="s">
        <v>328</v>
      </c>
      <c r="D19" s="9" t="s">
        <v>329</v>
      </c>
    </row>
    <row r="20" spans="1:4" x14ac:dyDescent="0.3">
      <c r="A20" s="14" t="s">
        <v>10</v>
      </c>
      <c r="B20" s="14" t="s">
        <v>16</v>
      </c>
      <c r="C20" s="13">
        <v>9.6</v>
      </c>
      <c r="D20" s="13" t="s">
        <v>330</v>
      </c>
    </row>
    <row r="21" spans="1:4" x14ac:dyDescent="0.3">
      <c r="A21" s="13" t="s">
        <v>15</v>
      </c>
      <c r="B21" s="13" t="s">
        <v>16</v>
      </c>
      <c r="C21" s="7">
        <v>9.6999999999999993</v>
      </c>
      <c r="D21" s="13" t="s">
        <v>331</v>
      </c>
    </row>
    <row r="22" spans="1:4" x14ac:dyDescent="0.3">
      <c r="A22" s="13" t="s">
        <v>19</v>
      </c>
      <c r="B22" s="13" t="s">
        <v>36</v>
      </c>
      <c r="C22" s="7">
        <v>9</v>
      </c>
      <c r="D22" s="13" t="s">
        <v>332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AAF948-64E1-43F6-9C5F-217D9678BC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Posts_Hashtag_Split</vt:lpstr>
      <vt:lpstr>Content_Analysis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 JEBBNOLLA</dc:creator>
  <cp:lastModifiedBy>swapna jebbenolla</cp:lastModifiedBy>
  <dcterms:created xsi:type="dcterms:W3CDTF">2026-03-02T02:04:44Z</dcterms:created>
  <dcterms:modified xsi:type="dcterms:W3CDTF">2026-03-22T08:00:44Z</dcterms:modified>
</cp:coreProperties>
</file>